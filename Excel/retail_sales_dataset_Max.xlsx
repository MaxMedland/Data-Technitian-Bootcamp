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778" documentId="8_{A1B6FE3E-8BD6-4C9B-AFBF-A92F2DF013F5}" xr6:coauthVersionLast="47" xr6:coauthVersionMax="47" xr10:uidLastSave="{BBFB8720-77EB-421E-B460-6735C22DCAC3}"/>
  <bookViews>
    <workbookView xWindow="-28920" yWindow="-1530" windowWidth="29040" windowHeight="16440" activeTab="3" xr2:uid="{00000000-000D-0000-FFFF-FFFF00000000}"/>
  </bookViews>
  <sheets>
    <sheet name="retail_sales_dataset" sheetId="1" r:id="rId1"/>
    <sheet name="Transactions" sheetId="2" r:id="rId2"/>
    <sheet name="byCategoryAndGender" sheetId="3" r:id="rId3"/>
    <sheet name="byCategoryAndGeneration" sheetId="4" r:id="rId4"/>
  </sheets>
  <definedNames>
    <definedName name="_xlnm._FilterDatabase" localSheetId="0" hidden="1">retail_sales_dataset!$A$1:$R$1001</definedName>
    <definedName name="_xlcn.WorksheetConnection_retail_sales_dataset.xlsxTable1" hidden="1">retail_sales_dataset!$A$1:$N$1001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217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 a="1"/>
  <c r="R2" i="1"/>
  <c r="J2" i="1" a="1"/>
  <c r="J2" i="1"/>
  <c r="A15" i="2"/>
  <c r="A13" i="2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2" i="2" a="1"/>
  <c r="C2" i="2"/>
  <c r="B2" i="1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/>
  <c r="J159" i="1" a="1"/>
  <c r="J159" i="1"/>
  <c r="J160" i="1" a="1"/>
  <c r="J160" i="1"/>
  <c r="J161" i="1" a="1"/>
  <c r="J161" i="1"/>
  <c r="J162" i="1" a="1"/>
  <c r="J162" i="1"/>
  <c r="J163" i="1" a="1"/>
  <c r="J163" i="1"/>
  <c r="J164" i="1" a="1"/>
  <c r="J164" i="1"/>
  <c r="J165" i="1" a="1"/>
  <c r="J165" i="1"/>
  <c r="J166" i="1" a="1"/>
  <c r="J166" i="1"/>
  <c r="J167" i="1" a="1"/>
  <c r="J167" i="1"/>
  <c r="J168" i="1" a="1"/>
  <c r="J168" i="1"/>
  <c r="J169" i="1" a="1"/>
  <c r="J169" i="1"/>
  <c r="J170" i="1" a="1"/>
  <c r="J170" i="1"/>
  <c r="J171" i="1" a="1"/>
  <c r="J171" i="1"/>
  <c r="J172" i="1" a="1"/>
  <c r="J172" i="1"/>
  <c r="J173" i="1" a="1"/>
  <c r="J173" i="1"/>
  <c r="J174" i="1" a="1"/>
  <c r="J174" i="1"/>
  <c r="J175" i="1" a="1"/>
  <c r="J175" i="1"/>
  <c r="J176" i="1" a="1"/>
  <c r="J176" i="1"/>
  <c r="J177" i="1" a="1"/>
  <c r="J177" i="1"/>
  <c r="J178" i="1" a="1"/>
  <c r="J178" i="1"/>
  <c r="J179" i="1" a="1"/>
  <c r="J179" i="1"/>
  <c r="J180" i="1" a="1"/>
  <c r="J180" i="1"/>
  <c r="J181" i="1" a="1"/>
  <c r="J181" i="1"/>
  <c r="J182" i="1" a="1"/>
  <c r="J182" i="1"/>
  <c r="J183" i="1" a="1"/>
  <c r="J183" i="1"/>
  <c r="J184" i="1" a="1"/>
  <c r="J184" i="1"/>
  <c r="J185" i="1" a="1"/>
  <c r="J185" i="1"/>
  <c r="J186" i="1" a="1"/>
  <c r="J186" i="1"/>
  <c r="J187" i="1" a="1"/>
  <c r="J187" i="1"/>
  <c r="J188" i="1" a="1"/>
  <c r="J188" i="1"/>
  <c r="J189" i="1" a="1"/>
  <c r="J189" i="1"/>
  <c r="J190" i="1" a="1"/>
  <c r="J190" i="1"/>
  <c r="J191" i="1" a="1"/>
  <c r="J191" i="1"/>
  <c r="J192" i="1" a="1"/>
  <c r="J192" i="1"/>
  <c r="J193" i="1" a="1"/>
  <c r="J193" i="1"/>
  <c r="J194" i="1" a="1"/>
  <c r="J194" i="1"/>
  <c r="J195" i="1" a="1"/>
  <c r="J195" i="1"/>
  <c r="J196" i="1" a="1"/>
  <c r="J196" i="1"/>
  <c r="J197" i="1" a="1"/>
  <c r="J197" i="1"/>
  <c r="J198" i="1" a="1"/>
  <c r="J198" i="1"/>
  <c r="J199" i="1" a="1"/>
  <c r="J199" i="1"/>
  <c r="J200" i="1" a="1"/>
  <c r="J200" i="1"/>
  <c r="J201" i="1" a="1"/>
  <c r="J201" i="1"/>
  <c r="J202" i="1" a="1"/>
  <c r="J202" i="1"/>
  <c r="J203" i="1" a="1"/>
  <c r="J203" i="1"/>
  <c r="J204" i="1" a="1"/>
  <c r="J204" i="1"/>
  <c r="J205" i="1" a="1"/>
  <c r="J205" i="1"/>
  <c r="J206" i="1" a="1"/>
  <c r="J206" i="1"/>
  <c r="J207" i="1" a="1"/>
  <c r="J207" i="1"/>
  <c r="J208" i="1" a="1"/>
  <c r="J208" i="1"/>
  <c r="J209" i="1" a="1"/>
  <c r="J209" i="1"/>
  <c r="J210" i="1" a="1"/>
  <c r="J210" i="1"/>
  <c r="J211" i="1" a="1"/>
  <c r="J211" i="1"/>
  <c r="J212" i="1" a="1"/>
  <c r="J212" i="1"/>
  <c r="J213" i="1" a="1"/>
  <c r="J213" i="1"/>
  <c r="J214" i="1" a="1"/>
  <c r="J214" i="1"/>
  <c r="J215" i="1" a="1"/>
  <c r="J215" i="1"/>
  <c r="J216" i="1" a="1"/>
  <c r="J216" i="1"/>
  <c r="J217" i="1" a="1"/>
  <c r="J217" i="1"/>
  <c r="J218" i="1" a="1"/>
  <c r="J218" i="1"/>
  <c r="J219" i="1" a="1"/>
  <c r="J219" i="1"/>
  <c r="J220" i="1" a="1"/>
  <c r="J220" i="1"/>
  <c r="J221" i="1" a="1"/>
  <c r="J221" i="1"/>
  <c r="J222" i="1" a="1"/>
  <c r="J222" i="1"/>
  <c r="J223" i="1" a="1"/>
  <c r="J223" i="1"/>
  <c r="J224" i="1" a="1"/>
  <c r="J224" i="1"/>
  <c r="J225" i="1" a="1"/>
  <c r="J225" i="1"/>
  <c r="J226" i="1" a="1"/>
  <c r="J226" i="1"/>
  <c r="J227" i="1" a="1"/>
  <c r="J227" i="1"/>
  <c r="J228" i="1" a="1"/>
  <c r="J228" i="1"/>
  <c r="J229" i="1" a="1"/>
  <c r="J229" i="1"/>
  <c r="J230" i="1" a="1"/>
  <c r="J230" i="1"/>
  <c r="J231" i="1" a="1"/>
  <c r="J231" i="1"/>
  <c r="J232" i="1" a="1"/>
  <c r="J232" i="1"/>
  <c r="J233" i="1" a="1"/>
  <c r="J233" i="1"/>
  <c r="J234" i="1" a="1"/>
  <c r="J234" i="1"/>
  <c r="J235" i="1" a="1"/>
  <c r="J235" i="1"/>
  <c r="J236" i="1" a="1"/>
  <c r="J236" i="1"/>
  <c r="J237" i="1" a="1"/>
  <c r="J237" i="1"/>
  <c r="J238" i="1" a="1"/>
  <c r="J238" i="1"/>
  <c r="J239" i="1" a="1"/>
  <c r="J239" i="1"/>
  <c r="J240" i="1" a="1"/>
  <c r="J240" i="1"/>
  <c r="J241" i="1" a="1"/>
  <c r="J241" i="1"/>
  <c r="J242" i="1" a="1"/>
  <c r="J242" i="1"/>
  <c r="J243" i="1" a="1"/>
  <c r="J243" i="1"/>
  <c r="J244" i="1" a="1"/>
  <c r="J244" i="1"/>
  <c r="J245" i="1" a="1"/>
  <c r="J245" i="1"/>
  <c r="J246" i="1" a="1"/>
  <c r="J246" i="1"/>
  <c r="J247" i="1" a="1"/>
  <c r="J247" i="1"/>
  <c r="J248" i="1" a="1"/>
  <c r="J248" i="1"/>
  <c r="J249" i="1" a="1"/>
  <c r="J249" i="1"/>
  <c r="J250" i="1" a="1"/>
  <c r="J250" i="1"/>
  <c r="J251" i="1" a="1"/>
  <c r="J251" i="1"/>
  <c r="J252" i="1" a="1"/>
  <c r="J252" i="1"/>
  <c r="J253" i="1" a="1"/>
  <c r="J253" i="1"/>
  <c r="J254" i="1" a="1"/>
  <c r="J254" i="1"/>
  <c r="J255" i="1" a="1"/>
  <c r="J255" i="1"/>
  <c r="J256" i="1" a="1"/>
  <c r="J256" i="1"/>
  <c r="J257" i="1" a="1"/>
  <c r="J257" i="1"/>
  <c r="J258" i="1" a="1"/>
  <c r="J258" i="1"/>
  <c r="J259" i="1" a="1"/>
  <c r="J259" i="1"/>
  <c r="J260" i="1" a="1"/>
  <c r="J260" i="1"/>
  <c r="J261" i="1" a="1"/>
  <c r="J261" i="1"/>
  <c r="J262" i="1" a="1"/>
  <c r="J262" i="1"/>
  <c r="J263" i="1" a="1"/>
  <c r="J263" i="1"/>
  <c r="J264" i="1" a="1"/>
  <c r="J264" i="1"/>
  <c r="J265" i="1" a="1"/>
  <c r="J265" i="1"/>
  <c r="J266" i="1" a="1"/>
  <c r="J266" i="1"/>
  <c r="J267" i="1" a="1"/>
  <c r="J267" i="1"/>
  <c r="J268" i="1" a="1"/>
  <c r="J268" i="1"/>
  <c r="J269" i="1" a="1"/>
  <c r="J269" i="1"/>
  <c r="J270" i="1" a="1"/>
  <c r="J270" i="1"/>
  <c r="J271" i="1" a="1"/>
  <c r="J271" i="1"/>
  <c r="J272" i="1" a="1"/>
  <c r="J272" i="1"/>
  <c r="J273" i="1" a="1"/>
  <c r="J273" i="1"/>
  <c r="J274" i="1" a="1"/>
  <c r="J274" i="1"/>
  <c r="J275" i="1" a="1"/>
  <c r="J275" i="1"/>
  <c r="J276" i="1" a="1"/>
  <c r="J276" i="1"/>
  <c r="J277" i="1" a="1"/>
  <c r="J277" i="1"/>
  <c r="J278" i="1" a="1"/>
  <c r="J278" i="1"/>
  <c r="J279" i="1" a="1"/>
  <c r="J279" i="1"/>
  <c r="J280" i="1" a="1"/>
  <c r="J280" i="1"/>
  <c r="J281" i="1" a="1"/>
  <c r="J281" i="1"/>
  <c r="J282" i="1" a="1"/>
  <c r="J282" i="1"/>
  <c r="J283" i="1" a="1"/>
  <c r="J283" i="1"/>
  <c r="J284" i="1" a="1"/>
  <c r="J284" i="1"/>
  <c r="J285" i="1" a="1"/>
  <c r="J285" i="1"/>
  <c r="J286" i="1" a="1"/>
  <c r="J286" i="1"/>
  <c r="J287" i="1" a="1"/>
  <c r="J287" i="1"/>
  <c r="J288" i="1" a="1"/>
  <c r="J288" i="1"/>
  <c r="J289" i="1" a="1"/>
  <c r="J289" i="1"/>
  <c r="J290" i="1" a="1"/>
  <c r="J290" i="1"/>
  <c r="J291" i="1" a="1"/>
  <c r="J291" i="1"/>
  <c r="J292" i="1" a="1"/>
  <c r="J292" i="1"/>
  <c r="J293" i="1" a="1"/>
  <c r="J293" i="1"/>
  <c r="J294" i="1" a="1"/>
  <c r="J294" i="1"/>
  <c r="J295" i="1" a="1"/>
  <c r="J295" i="1"/>
  <c r="J296" i="1" a="1"/>
  <c r="J296" i="1"/>
  <c r="J297" i="1" a="1"/>
  <c r="J297" i="1"/>
  <c r="J298" i="1" a="1"/>
  <c r="J298" i="1"/>
  <c r="J299" i="1" a="1"/>
  <c r="J299" i="1"/>
  <c r="J300" i="1" a="1"/>
  <c r="J300" i="1"/>
  <c r="J301" i="1" a="1"/>
  <c r="J301" i="1"/>
  <c r="J302" i="1" a="1"/>
  <c r="J302" i="1"/>
  <c r="J303" i="1" a="1"/>
  <c r="J303" i="1"/>
  <c r="J304" i="1" a="1"/>
  <c r="J304" i="1"/>
  <c r="J305" i="1" a="1"/>
  <c r="J305" i="1"/>
  <c r="J306" i="1" a="1"/>
  <c r="J306" i="1"/>
  <c r="J307" i="1" a="1"/>
  <c r="J307" i="1"/>
  <c r="J308" i="1" a="1"/>
  <c r="J308" i="1"/>
  <c r="J309" i="1" a="1"/>
  <c r="J309" i="1"/>
  <c r="J310" i="1" a="1"/>
  <c r="J310" i="1"/>
  <c r="J311" i="1" a="1"/>
  <c r="J311" i="1"/>
  <c r="J312" i="1" a="1"/>
  <c r="J312" i="1"/>
  <c r="J313" i="1" a="1"/>
  <c r="J313" i="1"/>
  <c r="J314" i="1" a="1"/>
  <c r="J314" i="1"/>
  <c r="J315" i="1" a="1"/>
  <c r="J315" i="1"/>
  <c r="J316" i="1" a="1"/>
  <c r="J316" i="1"/>
  <c r="J317" i="1" a="1"/>
  <c r="J317" i="1"/>
  <c r="J318" i="1" a="1"/>
  <c r="J318" i="1"/>
  <c r="J319" i="1" a="1"/>
  <c r="J319" i="1"/>
  <c r="J320" i="1" a="1"/>
  <c r="J320" i="1"/>
  <c r="J321" i="1" a="1"/>
  <c r="J321" i="1"/>
  <c r="J322" i="1" a="1"/>
  <c r="J322" i="1"/>
  <c r="J323" i="1" a="1"/>
  <c r="J323" i="1"/>
  <c r="J324" i="1" a="1"/>
  <c r="J324" i="1"/>
  <c r="J325" i="1" a="1"/>
  <c r="J325" i="1"/>
  <c r="J326" i="1" a="1"/>
  <c r="J326" i="1"/>
  <c r="J327" i="1" a="1"/>
  <c r="J327" i="1"/>
  <c r="J328" i="1" a="1"/>
  <c r="J328" i="1"/>
  <c r="J329" i="1" a="1"/>
  <c r="J329" i="1"/>
  <c r="J330" i="1" a="1"/>
  <c r="J330" i="1"/>
  <c r="J331" i="1" a="1"/>
  <c r="J331" i="1"/>
  <c r="J332" i="1" a="1"/>
  <c r="J332" i="1"/>
  <c r="J333" i="1" a="1"/>
  <c r="J333" i="1"/>
  <c r="J334" i="1" a="1"/>
  <c r="J334" i="1"/>
  <c r="J335" i="1" a="1"/>
  <c r="J335" i="1"/>
  <c r="J336" i="1" a="1"/>
  <c r="J336" i="1"/>
  <c r="J337" i="1" a="1"/>
  <c r="J337" i="1"/>
  <c r="J338" i="1" a="1"/>
  <c r="J338" i="1"/>
  <c r="J339" i="1" a="1"/>
  <c r="J339" i="1"/>
  <c r="J340" i="1" a="1"/>
  <c r="J340" i="1"/>
  <c r="J341" i="1" a="1"/>
  <c r="J341" i="1"/>
  <c r="J342" i="1" a="1"/>
  <c r="J342" i="1"/>
  <c r="J343" i="1" a="1"/>
  <c r="J343" i="1"/>
  <c r="J344" i="1" a="1"/>
  <c r="J344" i="1"/>
  <c r="J345" i="1" a="1"/>
  <c r="J345" i="1"/>
  <c r="J346" i="1" a="1"/>
  <c r="J346" i="1"/>
  <c r="J347" i="1" a="1"/>
  <c r="J347" i="1"/>
  <c r="J348" i="1" a="1"/>
  <c r="J348" i="1"/>
  <c r="J349" i="1" a="1"/>
  <c r="J349" i="1"/>
  <c r="J350" i="1" a="1"/>
  <c r="J350" i="1"/>
  <c r="J351" i="1" a="1"/>
  <c r="J351" i="1"/>
  <c r="J352" i="1" a="1"/>
  <c r="J352" i="1"/>
  <c r="J353" i="1" a="1"/>
  <c r="J353" i="1"/>
  <c r="J354" i="1" a="1"/>
  <c r="J354" i="1"/>
  <c r="J355" i="1" a="1"/>
  <c r="J355" i="1"/>
  <c r="J356" i="1" a="1"/>
  <c r="J356" i="1"/>
  <c r="J357" i="1" a="1"/>
  <c r="J357" i="1"/>
  <c r="J358" i="1" a="1"/>
  <c r="J358" i="1"/>
  <c r="J359" i="1" a="1"/>
  <c r="J359" i="1"/>
  <c r="J360" i="1" a="1"/>
  <c r="J360" i="1"/>
  <c r="J361" i="1" a="1"/>
  <c r="J361" i="1"/>
  <c r="J362" i="1" a="1"/>
  <c r="J362" i="1"/>
  <c r="J363" i="1" a="1"/>
  <c r="J363" i="1"/>
  <c r="J364" i="1" a="1"/>
  <c r="J364" i="1"/>
  <c r="J365" i="1" a="1"/>
  <c r="J365" i="1"/>
  <c r="J366" i="1" a="1"/>
  <c r="J366" i="1"/>
  <c r="J367" i="1" a="1"/>
  <c r="J367" i="1"/>
  <c r="J368" i="1" a="1"/>
  <c r="J368" i="1"/>
  <c r="J369" i="1" a="1"/>
  <c r="J369" i="1"/>
  <c r="J370" i="1" a="1"/>
  <c r="J370" i="1"/>
  <c r="J371" i="1" a="1"/>
  <c r="J371" i="1"/>
  <c r="J372" i="1" a="1"/>
  <c r="J372" i="1"/>
  <c r="J373" i="1" a="1"/>
  <c r="J373" i="1"/>
  <c r="J374" i="1" a="1"/>
  <c r="J374" i="1"/>
  <c r="J375" i="1" a="1"/>
  <c r="J375" i="1"/>
  <c r="J376" i="1" a="1"/>
  <c r="J376" i="1"/>
  <c r="J377" i="1" a="1"/>
  <c r="J377" i="1"/>
  <c r="J378" i="1" a="1"/>
  <c r="J378" i="1"/>
  <c r="J379" i="1" a="1"/>
  <c r="J379" i="1"/>
  <c r="J380" i="1" a="1"/>
  <c r="J380" i="1"/>
  <c r="J381" i="1" a="1"/>
  <c r="J381" i="1"/>
  <c r="J382" i="1" a="1"/>
  <c r="J382" i="1"/>
  <c r="J383" i="1" a="1"/>
  <c r="J383" i="1"/>
  <c r="J384" i="1" a="1"/>
  <c r="J384" i="1"/>
  <c r="J385" i="1" a="1"/>
  <c r="J385" i="1"/>
  <c r="J386" i="1" a="1"/>
  <c r="J386" i="1"/>
  <c r="J387" i="1" a="1"/>
  <c r="J387" i="1"/>
  <c r="J388" i="1" a="1"/>
  <c r="J388" i="1"/>
  <c r="J389" i="1" a="1"/>
  <c r="J389" i="1"/>
  <c r="J390" i="1" a="1"/>
  <c r="J390" i="1"/>
  <c r="J391" i="1" a="1"/>
  <c r="J391" i="1"/>
  <c r="J392" i="1" a="1"/>
  <c r="J392" i="1"/>
  <c r="J393" i="1" a="1"/>
  <c r="J393" i="1"/>
  <c r="J394" i="1" a="1"/>
  <c r="J394" i="1"/>
  <c r="J395" i="1" a="1"/>
  <c r="J395" i="1"/>
  <c r="J396" i="1" a="1"/>
  <c r="J396" i="1"/>
  <c r="J397" i="1" a="1"/>
  <c r="J397" i="1"/>
  <c r="J398" i="1" a="1"/>
  <c r="J398" i="1"/>
  <c r="J399" i="1" a="1"/>
  <c r="J399" i="1"/>
  <c r="J400" i="1" a="1"/>
  <c r="J400" i="1"/>
  <c r="J401" i="1" a="1"/>
  <c r="J401" i="1"/>
  <c r="J402" i="1" a="1"/>
  <c r="J402" i="1"/>
  <c r="J403" i="1" a="1"/>
  <c r="J403" i="1"/>
  <c r="J404" i="1" a="1"/>
  <c r="J404" i="1"/>
  <c r="J405" i="1" a="1"/>
  <c r="J405" i="1"/>
  <c r="J406" i="1" a="1"/>
  <c r="J406" i="1"/>
  <c r="J407" i="1" a="1"/>
  <c r="J407" i="1"/>
  <c r="J408" i="1" a="1"/>
  <c r="J408" i="1"/>
  <c r="J409" i="1" a="1"/>
  <c r="J409" i="1"/>
  <c r="J410" i="1" a="1"/>
  <c r="J410" i="1"/>
  <c r="J411" i="1" a="1"/>
  <c r="J411" i="1"/>
  <c r="J412" i="1" a="1"/>
  <c r="J412" i="1"/>
  <c r="J413" i="1" a="1"/>
  <c r="J413" i="1"/>
  <c r="J414" i="1" a="1"/>
  <c r="J414" i="1"/>
  <c r="J415" i="1" a="1"/>
  <c r="J415" i="1"/>
  <c r="J416" i="1" a="1"/>
  <c r="J416" i="1"/>
  <c r="J417" i="1" a="1"/>
  <c r="J417" i="1"/>
  <c r="J418" i="1" a="1"/>
  <c r="J418" i="1"/>
  <c r="J419" i="1" a="1"/>
  <c r="J419" i="1"/>
  <c r="J420" i="1" a="1"/>
  <c r="J420" i="1"/>
  <c r="J421" i="1" a="1"/>
  <c r="J421" i="1"/>
  <c r="J422" i="1" a="1"/>
  <c r="J422" i="1"/>
  <c r="J423" i="1" a="1"/>
  <c r="J423" i="1"/>
  <c r="J424" i="1" a="1"/>
  <c r="J424" i="1"/>
  <c r="J425" i="1" a="1"/>
  <c r="J425" i="1"/>
  <c r="J426" i="1" a="1"/>
  <c r="J426" i="1"/>
  <c r="J427" i="1" a="1"/>
  <c r="J427" i="1"/>
  <c r="J428" i="1" a="1"/>
  <c r="J428" i="1"/>
  <c r="J429" i="1" a="1"/>
  <c r="J429" i="1"/>
  <c r="J430" i="1" a="1"/>
  <c r="J430" i="1"/>
  <c r="J431" i="1" a="1"/>
  <c r="J431" i="1"/>
  <c r="J432" i="1" a="1"/>
  <c r="J432" i="1"/>
  <c r="J433" i="1" a="1"/>
  <c r="J433" i="1"/>
  <c r="J434" i="1" a="1"/>
  <c r="J434" i="1"/>
  <c r="J435" i="1" a="1"/>
  <c r="J435" i="1"/>
  <c r="J436" i="1" a="1"/>
  <c r="J436" i="1"/>
  <c r="J437" i="1" a="1"/>
  <c r="J437" i="1"/>
  <c r="J438" i="1" a="1"/>
  <c r="J438" i="1"/>
  <c r="J439" i="1" a="1"/>
  <c r="J439" i="1"/>
  <c r="J440" i="1" a="1"/>
  <c r="J440" i="1"/>
  <c r="J441" i="1" a="1"/>
  <c r="J441" i="1"/>
  <c r="J442" i="1" a="1"/>
  <c r="J442" i="1"/>
  <c r="J443" i="1" a="1"/>
  <c r="J443" i="1"/>
  <c r="J444" i="1" a="1"/>
  <c r="J444" i="1"/>
  <c r="J445" i="1" a="1"/>
  <c r="J445" i="1"/>
  <c r="J446" i="1" a="1"/>
  <c r="J446" i="1"/>
  <c r="J447" i="1" a="1"/>
  <c r="J447" i="1"/>
  <c r="J448" i="1" a="1"/>
  <c r="J448" i="1"/>
  <c r="J449" i="1" a="1"/>
  <c r="J449" i="1"/>
  <c r="J450" i="1" a="1"/>
  <c r="J450" i="1"/>
  <c r="J451" i="1" a="1"/>
  <c r="J451" i="1"/>
  <c r="J452" i="1" a="1"/>
  <c r="J452" i="1"/>
  <c r="J453" i="1" a="1"/>
  <c r="J453" i="1"/>
  <c r="J454" i="1" a="1"/>
  <c r="J454" i="1"/>
  <c r="J455" i="1" a="1"/>
  <c r="J455" i="1"/>
  <c r="J456" i="1" a="1"/>
  <c r="J456" i="1"/>
  <c r="J457" i="1" a="1"/>
  <c r="J457" i="1"/>
  <c r="J458" i="1" a="1"/>
  <c r="J458" i="1"/>
  <c r="J459" i="1" a="1"/>
  <c r="J459" i="1"/>
  <c r="J460" i="1" a="1"/>
  <c r="J460" i="1"/>
  <c r="J461" i="1" a="1"/>
  <c r="J461" i="1"/>
  <c r="J462" i="1" a="1"/>
  <c r="J462" i="1"/>
  <c r="J463" i="1" a="1"/>
  <c r="J463" i="1"/>
  <c r="J464" i="1" a="1"/>
  <c r="J464" i="1"/>
  <c r="J465" i="1" a="1"/>
  <c r="J465" i="1"/>
  <c r="J466" i="1" a="1"/>
  <c r="J466" i="1"/>
  <c r="J467" i="1" a="1"/>
  <c r="J467" i="1"/>
  <c r="J468" i="1" a="1"/>
  <c r="J468" i="1"/>
  <c r="J469" i="1" a="1"/>
  <c r="J469" i="1"/>
  <c r="J470" i="1" a="1"/>
  <c r="J470" i="1"/>
  <c r="J471" i="1" a="1"/>
  <c r="J471" i="1"/>
  <c r="J472" i="1" a="1"/>
  <c r="J472" i="1"/>
  <c r="J473" i="1" a="1"/>
  <c r="J473" i="1"/>
  <c r="J474" i="1" a="1"/>
  <c r="J474" i="1"/>
  <c r="J475" i="1" a="1"/>
  <c r="J475" i="1"/>
  <c r="J476" i="1" a="1"/>
  <c r="J476" i="1"/>
  <c r="J477" i="1" a="1"/>
  <c r="J477" i="1"/>
  <c r="J478" i="1" a="1"/>
  <c r="J478" i="1"/>
  <c r="J479" i="1" a="1"/>
  <c r="J479" i="1"/>
  <c r="J480" i="1" a="1"/>
  <c r="J480" i="1"/>
  <c r="J481" i="1" a="1"/>
  <c r="J481" i="1"/>
  <c r="J482" i="1" a="1"/>
  <c r="J482" i="1"/>
  <c r="J483" i="1" a="1"/>
  <c r="J483" i="1"/>
  <c r="J484" i="1" a="1"/>
  <c r="J484" i="1"/>
  <c r="J485" i="1" a="1"/>
  <c r="J485" i="1"/>
  <c r="J486" i="1" a="1"/>
  <c r="J486" i="1"/>
  <c r="J487" i="1" a="1"/>
  <c r="J487" i="1"/>
  <c r="J488" i="1" a="1"/>
  <c r="J488" i="1"/>
  <c r="J489" i="1" a="1"/>
  <c r="J489" i="1"/>
  <c r="J490" i="1" a="1"/>
  <c r="J490" i="1"/>
  <c r="J491" i="1" a="1"/>
  <c r="J491" i="1"/>
  <c r="J492" i="1" a="1"/>
  <c r="J492" i="1"/>
  <c r="J493" i="1" a="1"/>
  <c r="J493" i="1"/>
  <c r="J494" i="1" a="1"/>
  <c r="J494" i="1"/>
  <c r="J495" i="1" a="1"/>
  <c r="J495" i="1"/>
  <c r="J496" i="1" a="1"/>
  <c r="J496" i="1"/>
  <c r="J497" i="1" a="1"/>
  <c r="J497" i="1"/>
  <c r="J498" i="1" a="1"/>
  <c r="J498" i="1"/>
  <c r="J499" i="1" a="1"/>
  <c r="J499" i="1"/>
  <c r="J500" i="1" a="1"/>
  <c r="J500" i="1"/>
  <c r="J501" i="1" a="1"/>
  <c r="J501" i="1"/>
  <c r="J502" i="1" a="1"/>
  <c r="J502" i="1"/>
  <c r="J503" i="1" a="1"/>
  <c r="J503" i="1"/>
  <c r="J504" i="1" a="1"/>
  <c r="J504" i="1"/>
  <c r="J505" i="1" a="1"/>
  <c r="J505" i="1"/>
  <c r="J506" i="1" a="1"/>
  <c r="J506" i="1"/>
  <c r="J507" i="1" a="1"/>
  <c r="J507" i="1"/>
  <c r="J508" i="1" a="1"/>
  <c r="J508" i="1"/>
  <c r="J509" i="1" a="1"/>
  <c r="J509" i="1"/>
  <c r="J510" i="1" a="1"/>
  <c r="J510" i="1"/>
  <c r="J511" i="1" a="1"/>
  <c r="J511" i="1"/>
  <c r="J512" i="1" a="1"/>
  <c r="J512" i="1"/>
  <c r="J513" i="1" a="1"/>
  <c r="J513" i="1"/>
  <c r="J514" i="1" a="1"/>
  <c r="J514" i="1"/>
  <c r="J515" i="1" a="1"/>
  <c r="J515" i="1"/>
  <c r="J516" i="1" a="1"/>
  <c r="J516" i="1"/>
  <c r="J517" i="1" a="1"/>
  <c r="J517" i="1"/>
  <c r="J518" i="1" a="1"/>
  <c r="J518" i="1"/>
  <c r="J519" i="1" a="1"/>
  <c r="J519" i="1"/>
  <c r="J520" i="1" a="1"/>
  <c r="J520" i="1"/>
  <c r="J521" i="1" a="1"/>
  <c r="J521" i="1"/>
  <c r="J522" i="1" a="1"/>
  <c r="J522" i="1"/>
  <c r="J523" i="1" a="1"/>
  <c r="J523" i="1"/>
  <c r="J524" i="1" a="1"/>
  <c r="J524" i="1"/>
  <c r="J525" i="1" a="1"/>
  <c r="J525" i="1"/>
  <c r="J526" i="1" a="1"/>
  <c r="J526" i="1"/>
  <c r="J527" i="1" a="1"/>
  <c r="J527" i="1"/>
  <c r="J528" i="1" a="1"/>
  <c r="J528" i="1"/>
  <c r="J529" i="1" a="1"/>
  <c r="J529" i="1"/>
  <c r="J530" i="1" a="1"/>
  <c r="J530" i="1"/>
  <c r="J531" i="1" a="1"/>
  <c r="J531" i="1"/>
  <c r="J532" i="1" a="1"/>
  <c r="J532" i="1"/>
  <c r="J533" i="1" a="1"/>
  <c r="J533" i="1"/>
  <c r="J534" i="1" a="1"/>
  <c r="J534" i="1"/>
  <c r="J535" i="1" a="1"/>
  <c r="J535" i="1"/>
  <c r="J536" i="1" a="1"/>
  <c r="J536" i="1"/>
  <c r="J537" i="1" a="1"/>
  <c r="J537" i="1"/>
  <c r="J538" i="1" a="1"/>
  <c r="J538" i="1"/>
  <c r="J539" i="1" a="1"/>
  <c r="J539" i="1"/>
  <c r="J540" i="1" a="1"/>
  <c r="J540" i="1"/>
  <c r="J541" i="1" a="1"/>
  <c r="J541" i="1"/>
  <c r="J542" i="1" a="1"/>
  <c r="J542" i="1"/>
  <c r="J543" i="1" a="1"/>
  <c r="J543" i="1"/>
  <c r="J544" i="1" a="1"/>
  <c r="J544" i="1"/>
  <c r="J545" i="1" a="1"/>
  <c r="J545" i="1"/>
  <c r="J546" i="1" a="1"/>
  <c r="J546" i="1"/>
  <c r="J547" i="1" a="1"/>
  <c r="J547" i="1"/>
  <c r="J548" i="1" a="1"/>
  <c r="J548" i="1"/>
  <c r="J549" i="1" a="1"/>
  <c r="J549" i="1"/>
  <c r="J550" i="1" a="1"/>
  <c r="J550" i="1"/>
  <c r="J551" i="1" a="1"/>
  <c r="J551" i="1"/>
  <c r="J552" i="1" a="1"/>
  <c r="J552" i="1"/>
  <c r="J553" i="1" a="1"/>
  <c r="J553" i="1"/>
  <c r="J554" i="1" a="1"/>
  <c r="J554" i="1"/>
  <c r="J555" i="1" a="1"/>
  <c r="J555" i="1"/>
  <c r="J556" i="1" a="1"/>
  <c r="J556" i="1"/>
  <c r="J557" i="1" a="1"/>
  <c r="J557" i="1"/>
  <c r="J558" i="1" a="1"/>
  <c r="J558" i="1"/>
  <c r="J559" i="1" a="1"/>
  <c r="J559" i="1"/>
  <c r="J560" i="1" a="1"/>
  <c r="J560" i="1"/>
  <c r="J561" i="1" a="1"/>
  <c r="J561" i="1"/>
  <c r="J562" i="1" a="1"/>
  <c r="J562" i="1"/>
  <c r="J563" i="1" a="1"/>
  <c r="J563" i="1"/>
  <c r="J564" i="1" a="1"/>
  <c r="J564" i="1"/>
  <c r="J565" i="1" a="1"/>
  <c r="J565" i="1"/>
  <c r="J566" i="1" a="1"/>
  <c r="J566" i="1"/>
  <c r="J567" i="1" a="1"/>
  <c r="J567" i="1"/>
  <c r="J568" i="1" a="1"/>
  <c r="J568" i="1"/>
  <c r="J569" i="1" a="1"/>
  <c r="J569" i="1"/>
  <c r="J570" i="1" a="1"/>
  <c r="J570" i="1"/>
  <c r="J571" i="1" a="1"/>
  <c r="J571" i="1"/>
  <c r="J572" i="1" a="1"/>
  <c r="J572" i="1"/>
  <c r="J573" i="1" a="1"/>
  <c r="J573" i="1"/>
  <c r="J574" i="1" a="1"/>
  <c r="J574" i="1"/>
  <c r="J575" i="1" a="1"/>
  <c r="J575" i="1"/>
  <c r="J576" i="1" a="1"/>
  <c r="J576" i="1"/>
  <c r="J577" i="1" a="1"/>
  <c r="J577" i="1"/>
  <c r="J578" i="1" a="1"/>
  <c r="J578" i="1"/>
  <c r="J579" i="1" a="1"/>
  <c r="J579" i="1"/>
  <c r="J580" i="1" a="1"/>
  <c r="J580" i="1"/>
  <c r="J581" i="1" a="1"/>
  <c r="J581" i="1"/>
  <c r="J582" i="1" a="1"/>
  <c r="J582" i="1"/>
  <c r="J583" i="1" a="1"/>
  <c r="J583" i="1"/>
  <c r="J584" i="1" a="1"/>
  <c r="J584" i="1"/>
  <c r="J585" i="1" a="1"/>
  <c r="J585" i="1"/>
  <c r="J586" i="1" a="1"/>
  <c r="J586" i="1"/>
  <c r="J587" i="1" a="1"/>
  <c r="J587" i="1"/>
  <c r="J588" i="1" a="1"/>
  <c r="J588" i="1"/>
  <c r="J589" i="1" a="1"/>
  <c r="J589" i="1"/>
  <c r="J590" i="1" a="1"/>
  <c r="J590" i="1"/>
  <c r="J591" i="1" a="1"/>
  <c r="J591" i="1"/>
  <c r="J592" i="1" a="1"/>
  <c r="J592" i="1"/>
  <c r="J593" i="1" a="1"/>
  <c r="J593" i="1"/>
  <c r="J594" i="1" a="1"/>
  <c r="J594" i="1"/>
  <c r="J595" i="1" a="1"/>
  <c r="J595" i="1"/>
  <c r="J596" i="1" a="1"/>
  <c r="J596" i="1"/>
  <c r="J597" i="1" a="1"/>
  <c r="J597" i="1"/>
  <c r="J598" i="1" a="1"/>
  <c r="J598" i="1"/>
  <c r="J599" i="1" a="1"/>
  <c r="J599" i="1"/>
  <c r="J600" i="1" a="1"/>
  <c r="J600" i="1"/>
  <c r="J601" i="1" a="1"/>
  <c r="J601" i="1"/>
  <c r="J602" i="1" a="1"/>
  <c r="J602" i="1"/>
  <c r="J603" i="1" a="1"/>
  <c r="J603" i="1"/>
  <c r="J604" i="1" a="1"/>
  <c r="J604" i="1"/>
  <c r="J605" i="1" a="1"/>
  <c r="J605" i="1"/>
  <c r="J606" i="1" a="1"/>
  <c r="J606" i="1"/>
  <c r="J607" i="1" a="1"/>
  <c r="J607" i="1"/>
  <c r="J608" i="1" a="1"/>
  <c r="J608" i="1"/>
  <c r="J609" i="1" a="1"/>
  <c r="J609" i="1"/>
  <c r="J610" i="1" a="1"/>
  <c r="J610" i="1"/>
  <c r="J611" i="1" a="1"/>
  <c r="J611" i="1"/>
  <c r="J612" i="1" a="1"/>
  <c r="J612" i="1"/>
  <c r="J613" i="1" a="1"/>
  <c r="J613" i="1"/>
  <c r="J614" i="1" a="1"/>
  <c r="J614" i="1"/>
  <c r="J615" i="1" a="1"/>
  <c r="J615" i="1"/>
  <c r="J616" i="1" a="1"/>
  <c r="J616" i="1"/>
  <c r="J617" i="1" a="1"/>
  <c r="J617" i="1"/>
  <c r="J618" i="1" a="1"/>
  <c r="J618" i="1"/>
  <c r="J619" i="1" a="1"/>
  <c r="J619" i="1"/>
  <c r="J620" i="1" a="1"/>
  <c r="J620" i="1"/>
  <c r="J621" i="1" a="1"/>
  <c r="J621" i="1"/>
  <c r="J622" i="1" a="1"/>
  <c r="J622" i="1"/>
  <c r="J623" i="1" a="1"/>
  <c r="J623" i="1"/>
  <c r="J624" i="1" a="1"/>
  <c r="J624" i="1"/>
  <c r="J625" i="1" a="1"/>
  <c r="J625" i="1"/>
  <c r="J626" i="1" a="1"/>
  <c r="J626" i="1"/>
  <c r="J627" i="1" a="1"/>
  <c r="J627" i="1"/>
  <c r="J628" i="1" a="1"/>
  <c r="J628" i="1"/>
  <c r="J629" i="1" a="1"/>
  <c r="J629" i="1"/>
  <c r="J630" i="1" a="1"/>
  <c r="J630" i="1"/>
  <c r="J631" i="1" a="1"/>
  <c r="J631" i="1"/>
  <c r="J632" i="1" a="1"/>
  <c r="J632" i="1"/>
  <c r="J633" i="1" a="1"/>
  <c r="J633" i="1"/>
  <c r="J634" i="1" a="1"/>
  <c r="J634" i="1"/>
  <c r="J635" i="1" a="1"/>
  <c r="J635" i="1"/>
  <c r="J636" i="1" a="1"/>
  <c r="J636" i="1"/>
  <c r="J637" i="1" a="1"/>
  <c r="J637" i="1"/>
  <c r="J638" i="1" a="1"/>
  <c r="J638" i="1"/>
  <c r="J639" i="1" a="1"/>
  <c r="J639" i="1"/>
  <c r="J640" i="1" a="1"/>
  <c r="J640" i="1"/>
  <c r="J641" i="1" a="1"/>
  <c r="J641" i="1"/>
  <c r="J642" i="1" a="1"/>
  <c r="J642" i="1"/>
  <c r="J643" i="1" a="1"/>
  <c r="J643" i="1"/>
  <c r="J644" i="1" a="1"/>
  <c r="J644" i="1"/>
  <c r="J645" i="1" a="1"/>
  <c r="J645" i="1"/>
  <c r="J646" i="1" a="1"/>
  <c r="J646" i="1"/>
  <c r="J647" i="1" a="1"/>
  <c r="J647" i="1"/>
  <c r="J648" i="1" a="1"/>
  <c r="J648" i="1"/>
  <c r="J649" i="1" a="1"/>
  <c r="J649" i="1"/>
  <c r="J650" i="1" a="1"/>
  <c r="J650" i="1"/>
  <c r="J651" i="1" a="1"/>
  <c r="J651" i="1"/>
  <c r="J652" i="1" a="1"/>
  <c r="J652" i="1"/>
  <c r="J653" i="1" a="1"/>
  <c r="J653" i="1"/>
  <c r="J654" i="1" a="1"/>
  <c r="J654" i="1"/>
  <c r="J655" i="1" a="1"/>
  <c r="J655" i="1"/>
  <c r="J656" i="1" a="1"/>
  <c r="J656" i="1"/>
  <c r="J657" i="1" a="1"/>
  <c r="J657" i="1"/>
  <c r="J658" i="1" a="1"/>
  <c r="J658" i="1"/>
  <c r="J659" i="1" a="1"/>
  <c r="J659" i="1"/>
  <c r="J660" i="1" a="1"/>
  <c r="J660" i="1"/>
  <c r="J661" i="1" a="1"/>
  <c r="J661" i="1"/>
  <c r="J662" i="1" a="1"/>
  <c r="J662" i="1"/>
  <c r="J663" i="1" a="1"/>
  <c r="J663" i="1"/>
  <c r="J664" i="1" a="1"/>
  <c r="J664" i="1"/>
  <c r="J665" i="1" a="1"/>
  <c r="J665" i="1"/>
  <c r="J666" i="1" a="1"/>
  <c r="J666" i="1"/>
  <c r="J667" i="1" a="1"/>
  <c r="J667" i="1"/>
  <c r="J668" i="1" a="1"/>
  <c r="J668" i="1"/>
  <c r="J669" i="1" a="1"/>
  <c r="J669" i="1"/>
  <c r="J670" i="1" a="1"/>
  <c r="J670" i="1"/>
  <c r="J671" i="1" a="1"/>
  <c r="J671" i="1"/>
  <c r="J672" i="1" a="1"/>
  <c r="J672" i="1"/>
  <c r="J673" i="1" a="1"/>
  <c r="J673" i="1"/>
  <c r="J674" i="1" a="1"/>
  <c r="J674" i="1"/>
  <c r="J675" i="1" a="1"/>
  <c r="J675" i="1"/>
  <c r="J676" i="1" a="1"/>
  <c r="J676" i="1"/>
  <c r="J677" i="1" a="1"/>
  <c r="J677" i="1"/>
  <c r="J678" i="1" a="1"/>
  <c r="J678" i="1"/>
  <c r="J679" i="1" a="1"/>
  <c r="J679" i="1"/>
  <c r="J680" i="1" a="1"/>
  <c r="J680" i="1"/>
  <c r="J681" i="1" a="1"/>
  <c r="J681" i="1"/>
  <c r="J682" i="1" a="1"/>
  <c r="J682" i="1"/>
  <c r="J683" i="1" a="1"/>
  <c r="J683" i="1"/>
  <c r="J684" i="1" a="1"/>
  <c r="J684" i="1"/>
  <c r="J685" i="1" a="1"/>
  <c r="J685" i="1"/>
  <c r="J686" i="1" a="1"/>
  <c r="J686" i="1"/>
  <c r="J687" i="1" a="1"/>
  <c r="J687" i="1"/>
  <c r="J688" i="1" a="1"/>
  <c r="J688" i="1"/>
  <c r="J689" i="1" a="1"/>
  <c r="J689" i="1"/>
  <c r="J690" i="1" a="1"/>
  <c r="J690" i="1"/>
  <c r="J691" i="1" a="1"/>
  <c r="J691" i="1"/>
  <c r="J692" i="1" a="1"/>
  <c r="J692" i="1"/>
  <c r="J693" i="1" a="1"/>
  <c r="J693" i="1"/>
  <c r="J694" i="1" a="1"/>
  <c r="J694" i="1"/>
  <c r="J695" i="1" a="1"/>
  <c r="J695" i="1"/>
  <c r="J696" i="1" a="1"/>
  <c r="J696" i="1"/>
  <c r="J697" i="1" a="1"/>
  <c r="J697" i="1"/>
  <c r="J698" i="1" a="1"/>
  <c r="J698" i="1"/>
  <c r="J699" i="1" a="1"/>
  <c r="J699" i="1"/>
  <c r="J700" i="1" a="1"/>
  <c r="J700" i="1"/>
  <c r="J701" i="1" a="1"/>
  <c r="J701" i="1"/>
  <c r="J702" i="1" a="1"/>
  <c r="J702" i="1"/>
  <c r="J703" i="1" a="1"/>
  <c r="J703" i="1"/>
  <c r="J704" i="1" a="1"/>
  <c r="J704" i="1"/>
  <c r="J705" i="1" a="1"/>
  <c r="J705" i="1"/>
  <c r="J706" i="1" a="1"/>
  <c r="J706" i="1"/>
  <c r="J707" i="1" a="1"/>
  <c r="J707" i="1"/>
  <c r="J708" i="1" a="1"/>
  <c r="J708" i="1"/>
  <c r="J709" i="1" a="1"/>
  <c r="J709" i="1"/>
  <c r="J710" i="1" a="1"/>
  <c r="J710" i="1"/>
  <c r="J711" i="1" a="1"/>
  <c r="J711" i="1"/>
  <c r="J712" i="1" a="1"/>
  <c r="J712" i="1"/>
  <c r="J713" i="1" a="1"/>
  <c r="J713" i="1"/>
  <c r="J714" i="1" a="1"/>
  <c r="J714" i="1"/>
  <c r="J715" i="1" a="1"/>
  <c r="J715" i="1"/>
  <c r="J716" i="1" a="1"/>
  <c r="J716" i="1"/>
  <c r="J717" i="1" a="1"/>
  <c r="J717" i="1"/>
  <c r="J718" i="1" a="1"/>
  <c r="J718" i="1"/>
  <c r="J719" i="1" a="1"/>
  <c r="J719" i="1"/>
  <c r="J720" i="1" a="1"/>
  <c r="J720" i="1"/>
  <c r="J721" i="1" a="1"/>
  <c r="J721" i="1"/>
  <c r="J722" i="1" a="1"/>
  <c r="J722" i="1"/>
  <c r="J723" i="1" a="1"/>
  <c r="J723" i="1"/>
  <c r="J724" i="1" a="1"/>
  <c r="J724" i="1"/>
  <c r="J725" i="1" a="1"/>
  <c r="J725" i="1"/>
  <c r="J726" i="1" a="1"/>
  <c r="J726" i="1"/>
  <c r="J727" i="1" a="1"/>
  <c r="J727" i="1"/>
  <c r="J728" i="1" a="1"/>
  <c r="J728" i="1"/>
  <c r="J729" i="1" a="1"/>
  <c r="J729" i="1"/>
  <c r="J730" i="1" a="1"/>
  <c r="J730" i="1"/>
  <c r="J731" i="1" a="1"/>
  <c r="J731" i="1"/>
  <c r="J732" i="1" a="1"/>
  <c r="J732" i="1"/>
  <c r="J733" i="1" a="1"/>
  <c r="J733" i="1"/>
  <c r="J734" i="1" a="1"/>
  <c r="J734" i="1"/>
  <c r="J735" i="1" a="1"/>
  <c r="J735" i="1"/>
  <c r="J736" i="1" a="1"/>
  <c r="J736" i="1"/>
  <c r="J737" i="1" a="1"/>
  <c r="J737" i="1"/>
  <c r="J738" i="1" a="1"/>
  <c r="J738" i="1"/>
  <c r="J739" i="1" a="1"/>
  <c r="J739" i="1"/>
  <c r="J740" i="1" a="1"/>
  <c r="J740" i="1"/>
  <c r="J741" i="1" a="1"/>
  <c r="J741" i="1"/>
  <c r="J742" i="1" a="1"/>
  <c r="J742" i="1"/>
  <c r="J743" i="1" a="1"/>
  <c r="J743" i="1"/>
  <c r="J744" i="1" a="1"/>
  <c r="J744" i="1"/>
  <c r="J745" i="1" a="1"/>
  <c r="J745" i="1"/>
  <c r="J746" i="1" a="1"/>
  <c r="J746" i="1"/>
  <c r="J747" i="1" a="1"/>
  <c r="J747" i="1"/>
  <c r="J748" i="1" a="1"/>
  <c r="J748" i="1"/>
  <c r="J749" i="1" a="1"/>
  <c r="J749" i="1"/>
  <c r="J750" i="1" a="1"/>
  <c r="J750" i="1"/>
  <c r="J751" i="1" a="1"/>
  <c r="J751" i="1"/>
  <c r="J752" i="1" a="1"/>
  <c r="J752" i="1"/>
  <c r="J753" i="1" a="1"/>
  <c r="J753" i="1"/>
  <c r="J754" i="1" a="1"/>
  <c r="J754" i="1"/>
  <c r="J755" i="1" a="1"/>
  <c r="J755" i="1"/>
  <c r="J756" i="1" a="1"/>
  <c r="J756" i="1"/>
  <c r="J757" i="1" a="1"/>
  <c r="J757" i="1"/>
  <c r="J758" i="1" a="1"/>
  <c r="J758" i="1"/>
  <c r="J759" i="1" a="1"/>
  <c r="J759" i="1"/>
  <c r="J760" i="1" a="1"/>
  <c r="J760" i="1"/>
  <c r="J761" i="1" a="1"/>
  <c r="J761" i="1"/>
  <c r="J762" i="1" a="1"/>
  <c r="J762" i="1"/>
  <c r="J763" i="1" a="1"/>
  <c r="J763" i="1"/>
  <c r="J764" i="1" a="1"/>
  <c r="J764" i="1"/>
  <c r="J765" i="1" a="1"/>
  <c r="J765" i="1"/>
  <c r="J766" i="1" a="1"/>
  <c r="J766" i="1"/>
  <c r="J767" i="1" a="1"/>
  <c r="J767" i="1"/>
  <c r="J768" i="1" a="1"/>
  <c r="J768" i="1"/>
  <c r="J769" i="1" a="1"/>
  <c r="J769" i="1"/>
  <c r="J770" i="1" a="1"/>
  <c r="J770" i="1"/>
  <c r="J771" i="1" a="1"/>
  <c r="J771" i="1"/>
  <c r="J772" i="1" a="1"/>
  <c r="J772" i="1"/>
  <c r="J773" i="1" a="1"/>
  <c r="J773" i="1"/>
  <c r="J774" i="1" a="1"/>
  <c r="J774" i="1"/>
  <c r="J775" i="1" a="1"/>
  <c r="J775" i="1"/>
  <c r="J776" i="1" a="1"/>
  <c r="J776" i="1"/>
  <c r="J777" i="1" a="1"/>
  <c r="J777" i="1"/>
  <c r="J778" i="1" a="1"/>
  <c r="J778" i="1"/>
  <c r="J779" i="1" a="1"/>
  <c r="J779" i="1"/>
  <c r="J780" i="1" a="1"/>
  <c r="J780" i="1"/>
  <c r="J781" i="1" a="1"/>
  <c r="J781" i="1"/>
  <c r="J782" i="1" a="1"/>
  <c r="J782" i="1"/>
  <c r="J783" i="1" a="1"/>
  <c r="J783" i="1"/>
  <c r="J784" i="1" a="1"/>
  <c r="J784" i="1"/>
  <c r="J785" i="1" a="1"/>
  <c r="J785" i="1"/>
  <c r="J786" i="1" a="1"/>
  <c r="J786" i="1"/>
  <c r="J787" i="1" a="1"/>
  <c r="J787" i="1"/>
  <c r="J788" i="1" a="1"/>
  <c r="J788" i="1"/>
  <c r="J789" i="1" a="1"/>
  <c r="J789" i="1"/>
  <c r="J790" i="1" a="1"/>
  <c r="J790" i="1"/>
  <c r="J791" i="1" a="1"/>
  <c r="J791" i="1"/>
  <c r="J792" i="1" a="1"/>
  <c r="J792" i="1"/>
  <c r="J793" i="1" a="1"/>
  <c r="J793" i="1"/>
  <c r="J794" i="1" a="1"/>
  <c r="J794" i="1"/>
  <c r="J795" i="1" a="1"/>
  <c r="J795" i="1"/>
  <c r="J796" i="1" a="1"/>
  <c r="J796" i="1"/>
  <c r="J797" i="1" a="1"/>
  <c r="J797" i="1"/>
  <c r="J798" i="1" a="1"/>
  <c r="J798" i="1"/>
  <c r="J799" i="1" a="1"/>
  <c r="J799" i="1"/>
  <c r="J800" i="1" a="1"/>
  <c r="J800" i="1"/>
  <c r="J801" i="1" a="1"/>
  <c r="J801" i="1"/>
  <c r="J802" i="1" a="1"/>
  <c r="J802" i="1"/>
  <c r="J803" i="1" a="1"/>
  <c r="J803" i="1"/>
  <c r="J804" i="1" a="1"/>
  <c r="J804" i="1"/>
  <c r="J805" i="1" a="1"/>
  <c r="J805" i="1"/>
  <c r="J806" i="1" a="1"/>
  <c r="J806" i="1"/>
  <c r="J807" i="1" a="1"/>
  <c r="J807" i="1"/>
  <c r="J808" i="1" a="1"/>
  <c r="J808" i="1"/>
  <c r="J809" i="1" a="1"/>
  <c r="J809" i="1"/>
  <c r="J810" i="1" a="1"/>
  <c r="J810" i="1"/>
  <c r="J811" i="1" a="1"/>
  <c r="J811" i="1"/>
  <c r="J812" i="1" a="1"/>
  <c r="J812" i="1"/>
  <c r="J813" i="1" a="1"/>
  <c r="J813" i="1"/>
  <c r="J814" i="1" a="1"/>
  <c r="J814" i="1"/>
  <c r="J815" i="1" a="1"/>
  <c r="J815" i="1"/>
  <c r="J816" i="1" a="1"/>
  <c r="J816" i="1"/>
  <c r="J817" i="1" a="1"/>
  <c r="J817" i="1"/>
  <c r="J818" i="1" a="1"/>
  <c r="J818" i="1"/>
  <c r="J819" i="1" a="1"/>
  <c r="J819" i="1"/>
  <c r="J820" i="1" a="1"/>
  <c r="J820" i="1"/>
  <c r="J821" i="1" a="1"/>
  <c r="J821" i="1"/>
  <c r="J822" i="1" a="1"/>
  <c r="J822" i="1"/>
  <c r="J823" i="1" a="1"/>
  <c r="J823" i="1"/>
  <c r="J824" i="1" a="1"/>
  <c r="J824" i="1"/>
  <c r="J825" i="1" a="1"/>
  <c r="J825" i="1"/>
  <c r="J826" i="1" a="1"/>
  <c r="J826" i="1"/>
  <c r="J827" i="1" a="1"/>
  <c r="J827" i="1"/>
  <c r="J828" i="1" a="1"/>
  <c r="J828" i="1"/>
  <c r="J829" i="1" a="1"/>
  <c r="J829" i="1"/>
  <c r="J830" i="1" a="1"/>
  <c r="J830" i="1"/>
  <c r="J831" i="1" a="1"/>
  <c r="J831" i="1"/>
  <c r="J832" i="1" a="1"/>
  <c r="J832" i="1"/>
  <c r="J833" i="1" a="1"/>
  <c r="J833" i="1"/>
  <c r="J834" i="1" a="1"/>
  <c r="J834" i="1"/>
  <c r="J835" i="1" a="1"/>
  <c r="J835" i="1"/>
  <c r="J836" i="1" a="1"/>
  <c r="J836" i="1"/>
  <c r="J837" i="1" a="1"/>
  <c r="J837" i="1"/>
  <c r="J838" i="1" a="1"/>
  <c r="J838" i="1"/>
  <c r="J839" i="1" a="1"/>
  <c r="J839" i="1"/>
  <c r="J840" i="1" a="1"/>
  <c r="J840" i="1"/>
  <c r="J841" i="1" a="1"/>
  <c r="J841" i="1"/>
  <c r="J842" i="1" a="1"/>
  <c r="J842" i="1"/>
  <c r="J843" i="1" a="1"/>
  <c r="J843" i="1"/>
  <c r="J844" i="1" a="1"/>
  <c r="J844" i="1"/>
  <c r="J845" i="1" a="1"/>
  <c r="J845" i="1"/>
  <c r="J846" i="1" a="1"/>
  <c r="J846" i="1"/>
  <c r="J847" i="1" a="1"/>
  <c r="J847" i="1"/>
  <c r="J848" i="1" a="1"/>
  <c r="J848" i="1"/>
  <c r="J849" i="1" a="1"/>
  <c r="J849" i="1"/>
  <c r="J850" i="1" a="1"/>
  <c r="J850" i="1"/>
  <c r="J851" i="1" a="1"/>
  <c r="J851" i="1"/>
  <c r="J852" i="1" a="1"/>
  <c r="J852" i="1"/>
  <c r="J853" i="1" a="1"/>
  <c r="J853" i="1"/>
  <c r="J854" i="1" a="1"/>
  <c r="J854" i="1"/>
  <c r="J855" i="1" a="1"/>
  <c r="J855" i="1"/>
  <c r="J856" i="1" a="1"/>
  <c r="J856" i="1"/>
  <c r="J857" i="1" a="1"/>
  <c r="J857" i="1"/>
  <c r="J858" i="1" a="1"/>
  <c r="J858" i="1"/>
  <c r="J859" i="1" a="1"/>
  <c r="J859" i="1"/>
  <c r="J860" i="1" a="1"/>
  <c r="J860" i="1"/>
  <c r="J861" i="1" a="1"/>
  <c r="J861" i="1"/>
  <c r="J862" i="1" a="1"/>
  <c r="J862" i="1"/>
  <c r="J863" i="1" a="1"/>
  <c r="J863" i="1"/>
  <c r="J864" i="1" a="1"/>
  <c r="J864" i="1"/>
  <c r="J865" i="1" a="1"/>
  <c r="J865" i="1"/>
  <c r="J866" i="1" a="1"/>
  <c r="J866" i="1"/>
  <c r="J867" i="1" a="1"/>
  <c r="J867" i="1"/>
  <c r="J868" i="1" a="1"/>
  <c r="J868" i="1"/>
  <c r="J869" i="1" a="1"/>
  <c r="J869" i="1"/>
  <c r="J870" i="1" a="1"/>
  <c r="J870" i="1"/>
  <c r="J871" i="1" a="1"/>
  <c r="J871" i="1"/>
  <c r="J872" i="1" a="1"/>
  <c r="J872" i="1"/>
  <c r="J873" i="1" a="1"/>
  <c r="J873" i="1"/>
  <c r="J874" i="1" a="1"/>
  <c r="J874" i="1"/>
  <c r="J875" i="1" a="1"/>
  <c r="J875" i="1"/>
  <c r="J876" i="1" a="1"/>
  <c r="J876" i="1"/>
  <c r="J877" i="1" a="1"/>
  <c r="J877" i="1"/>
  <c r="J878" i="1" a="1"/>
  <c r="J878" i="1"/>
  <c r="J879" i="1" a="1"/>
  <c r="J879" i="1"/>
  <c r="J880" i="1" a="1"/>
  <c r="J880" i="1"/>
  <c r="J881" i="1" a="1"/>
  <c r="J881" i="1"/>
  <c r="J882" i="1" a="1"/>
  <c r="J882" i="1"/>
  <c r="J883" i="1" a="1"/>
  <c r="J883" i="1"/>
  <c r="J884" i="1" a="1"/>
  <c r="J884" i="1"/>
  <c r="J885" i="1" a="1"/>
  <c r="J885" i="1"/>
  <c r="J886" i="1" a="1"/>
  <c r="J886" i="1"/>
  <c r="J887" i="1" a="1"/>
  <c r="J887" i="1"/>
  <c r="J888" i="1" a="1"/>
  <c r="J888" i="1"/>
  <c r="J889" i="1" a="1"/>
  <c r="J889" i="1"/>
  <c r="J890" i="1" a="1"/>
  <c r="J890" i="1"/>
  <c r="J891" i="1" a="1"/>
  <c r="J891" i="1"/>
  <c r="J892" i="1" a="1"/>
  <c r="J892" i="1"/>
  <c r="J893" i="1" a="1"/>
  <c r="J893" i="1"/>
  <c r="J894" i="1" a="1"/>
  <c r="J894" i="1"/>
  <c r="J895" i="1" a="1"/>
  <c r="J895" i="1"/>
  <c r="J896" i="1" a="1"/>
  <c r="J896" i="1"/>
  <c r="J897" i="1" a="1"/>
  <c r="J897" i="1"/>
  <c r="J898" i="1" a="1"/>
  <c r="J898" i="1"/>
  <c r="J899" i="1" a="1"/>
  <c r="J899" i="1"/>
  <c r="J900" i="1" a="1"/>
  <c r="J900" i="1"/>
  <c r="J901" i="1" a="1"/>
  <c r="J901" i="1"/>
  <c r="J902" i="1" a="1"/>
  <c r="J902" i="1"/>
  <c r="J903" i="1" a="1"/>
  <c r="J903" i="1"/>
  <c r="J904" i="1" a="1"/>
  <c r="J904" i="1"/>
  <c r="J905" i="1" a="1"/>
  <c r="J905" i="1"/>
  <c r="J906" i="1" a="1"/>
  <c r="J906" i="1"/>
  <c r="J907" i="1" a="1"/>
  <c r="J907" i="1"/>
  <c r="J908" i="1" a="1"/>
  <c r="J908" i="1"/>
  <c r="J909" i="1" a="1"/>
  <c r="J909" i="1"/>
  <c r="J910" i="1" a="1"/>
  <c r="J910" i="1"/>
  <c r="J911" i="1" a="1"/>
  <c r="J911" i="1"/>
  <c r="J912" i="1" a="1"/>
  <c r="J912" i="1"/>
  <c r="J913" i="1" a="1"/>
  <c r="J913" i="1"/>
  <c r="J914" i="1" a="1"/>
  <c r="J914" i="1"/>
  <c r="J915" i="1" a="1"/>
  <c r="J915" i="1"/>
  <c r="J916" i="1" a="1"/>
  <c r="J916" i="1"/>
  <c r="J917" i="1" a="1"/>
  <c r="J917" i="1"/>
  <c r="J918" i="1" a="1"/>
  <c r="J918" i="1"/>
  <c r="J919" i="1" a="1"/>
  <c r="J919" i="1"/>
  <c r="J920" i="1" a="1"/>
  <c r="J920" i="1"/>
  <c r="J921" i="1" a="1"/>
  <c r="J921" i="1"/>
  <c r="J922" i="1" a="1"/>
  <c r="J922" i="1"/>
  <c r="J923" i="1" a="1"/>
  <c r="J923" i="1"/>
  <c r="J924" i="1" a="1"/>
  <c r="J924" i="1"/>
  <c r="J925" i="1" a="1"/>
  <c r="J925" i="1"/>
  <c r="J926" i="1" a="1"/>
  <c r="J926" i="1"/>
  <c r="J927" i="1" a="1"/>
  <c r="J927" i="1"/>
  <c r="J928" i="1" a="1"/>
  <c r="J928" i="1"/>
  <c r="J929" i="1" a="1"/>
  <c r="J929" i="1"/>
  <c r="J930" i="1" a="1"/>
  <c r="J930" i="1"/>
  <c r="J931" i="1" a="1"/>
  <c r="J931" i="1"/>
  <c r="J932" i="1" a="1"/>
  <c r="J932" i="1"/>
  <c r="J933" i="1" a="1"/>
  <c r="J933" i="1"/>
  <c r="J934" i="1" a="1"/>
  <c r="J934" i="1"/>
  <c r="J935" i="1" a="1"/>
  <c r="J935" i="1"/>
  <c r="J936" i="1" a="1"/>
  <c r="J936" i="1"/>
  <c r="J937" i="1" a="1"/>
  <c r="J937" i="1"/>
  <c r="J938" i="1" a="1"/>
  <c r="J938" i="1"/>
  <c r="J939" i="1" a="1"/>
  <c r="J939" i="1"/>
  <c r="J940" i="1" a="1"/>
  <c r="J940" i="1"/>
  <c r="J941" i="1" a="1"/>
  <c r="J941" i="1"/>
  <c r="J942" i="1" a="1"/>
  <c r="J942" i="1"/>
  <c r="J943" i="1" a="1"/>
  <c r="J943" i="1"/>
  <c r="J944" i="1" a="1"/>
  <c r="J944" i="1"/>
  <c r="J945" i="1" a="1"/>
  <c r="J945" i="1"/>
  <c r="J946" i="1" a="1"/>
  <c r="J946" i="1"/>
  <c r="J947" i="1" a="1"/>
  <c r="J947" i="1"/>
  <c r="J948" i="1" a="1"/>
  <c r="J948" i="1"/>
  <c r="J949" i="1" a="1"/>
  <c r="J949" i="1"/>
  <c r="J950" i="1" a="1"/>
  <c r="J950" i="1"/>
  <c r="J951" i="1" a="1"/>
  <c r="J951" i="1"/>
  <c r="J952" i="1" a="1"/>
  <c r="J952" i="1"/>
  <c r="J953" i="1" a="1"/>
  <c r="J953" i="1"/>
  <c r="J954" i="1" a="1"/>
  <c r="J954" i="1"/>
  <c r="J955" i="1" a="1"/>
  <c r="J955" i="1"/>
  <c r="J956" i="1" a="1"/>
  <c r="J956" i="1"/>
  <c r="J957" i="1" a="1"/>
  <c r="J957" i="1"/>
  <c r="J958" i="1" a="1"/>
  <c r="J958" i="1"/>
  <c r="J959" i="1" a="1"/>
  <c r="J959" i="1"/>
  <c r="J960" i="1" a="1"/>
  <c r="J960" i="1"/>
  <c r="J961" i="1" a="1"/>
  <c r="J961" i="1"/>
  <c r="J962" i="1" a="1"/>
  <c r="J962" i="1"/>
  <c r="J963" i="1" a="1"/>
  <c r="J963" i="1"/>
  <c r="J964" i="1" a="1"/>
  <c r="J964" i="1"/>
  <c r="J965" i="1" a="1"/>
  <c r="J965" i="1"/>
  <c r="J966" i="1" a="1"/>
  <c r="J966" i="1"/>
  <c r="J967" i="1" a="1"/>
  <c r="J967" i="1"/>
  <c r="J968" i="1" a="1"/>
  <c r="J968" i="1"/>
  <c r="J969" i="1" a="1"/>
  <c r="J969" i="1"/>
  <c r="J970" i="1" a="1"/>
  <c r="J970" i="1"/>
  <c r="J971" i="1" a="1"/>
  <c r="J971" i="1"/>
  <c r="J972" i="1" a="1"/>
  <c r="J972" i="1"/>
  <c r="J973" i="1" a="1"/>
  <c r="J973" i="1"/>
  <c r="J974" i="1" a="1"/>
  <c r="J974" i="1"/>
  <c r="J975" i="1" a="1"/>
  <c r="J975" i="1"/>
  <c r="J976" i="1" a="1"/>
  <c r="J976" i="1"/>
  <c r="J977" i="1" a="1"/>
  <c r="J977" i="1"/>
  <c r="J978" i="1" a="1"/>
  <c r="J978" i="1"/>
  <c r="J979" i="1" a="1"/>
  <c r="J979" i="1"/>
  <c r="J980" i="1" a="1"/>
  <c r="J980" i="1"/>
  <c r="J981" i="1" a="1"/>
  <c r="J981" i="1"/>
  <c r="J982" i="1" a="1"/>
  <c r="J982" i="1"/>
  <c r="J983" i="1" a="1"/>
  <c r="J983" i="1"/>
  <c r="J984" i="1" a="1"/>
  <c r="J984" i="1"/>
  <c r="J985" i="1" a="1"/>
  <c r="J985" i="1"/>
  <c r="J986" i="1" a="1"/>
  <c r="J986" i="1"/>
  <c r="J987" i="1" a="1"/>
  <c r="J987" i="1"/>
  <c r="J988" i="1" a="1"/>
  <c r="J988" i="1"/>
  <c r="J989" i="1" a="1"/>
  <c r="J989" i="1"/>
  <c r="J990" i="1" a="1"/>
  <c r="J990" i="1"/>
  <c r="J991" i="1" a="1"/>
  <c r="J991" i="1"/>
  <c r="J992" i="1" a="1"/>
  <c r="J992" i="1"/>
  <c r="J993" i="1" a="1"/>
  <c r="J993" i="1"/>
  <c r="J994" i="1" a="1"/>
  <c r="J994" i="1"/>
  <c r="J995" i="1" a="1"/>
  <c r="J995" i="1"/>
  <c r="J996" i="1" a="1"/>
  <c r="J996" i="1"/>
  <c r="J997" i="1" a="1"/>
  <c r="J997" i="1"/>
  <c r="J998" i="1" a="1"/>
  <c r="J998" i="1"/>
  <c r="J999" i="1" a="1"/>
  <c r="J999" i="1"/>
  <c r="J1000" i="1" a="1"/>
  <c r="J1000" i="1"/>
  <c r="J1001" i="1" a="1"/>
  <c r="J1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V16" i="1"/>
  <c r="W18" i="1"/>
  <c r="W19" i="1"/>
  <c r="W17" i="1"/>
  <c r="V18" i="1"/>
  <c r="V19" i="1"/>
  <c r="V17" i="1"/>
  <c r="O3" i="1"/>
  <c r="O4" i="1"/>
  <c r="O5" i="1"/>
  <c r="O6" i="1"/>
  <c r="O7" i="1"/>
  <c r="O8" i="1"/>
  <c r="O9" i="1"/>
  <c r="O10" i="1"/>
  <c r="O11" i="1"/>
  <c r="B2" i="2" s="1" a="1"/>
  <c r="B2" i="2" s="1"/>
  <c r="O12" i="1"/>
  <c r="O13" i="1"/>
  <c r="O14" i="1"/>
  <c r="O15" i="1"/>
  <c r="O16" i="1"/>
  <c r="B3" i="2" s="1" a="1"/>
  <c r="B3" i="2" s="1"/>
  <c r="D3" i="2" s="1"/>
  <c r="O17" i="1"/>
  <c r="O18" i="1"/>
  <c r="O19" i="1"/>
  <c r="O20" i="1"/>
  <c r="O21" i="1"/>
  <c r="O22" i="1"/>
  <c r="O23" i="1"/>
  <c r="O24" i="1"/>
  <c r="O25" i="1"/>
  <c r="O26" i="1"/>
  <c r="B4" i="2" s="1" a="1"/>
  <c r="B4" i="2" s="1"/>
  <c r="D4" i="2" s="1"/>
  <c r="O27" i="1"/>
  <c r="O28" i="1"/>
  <c r="O29" i="1"/>
  <c r="O30" i="1"/>
  <c r="O31" i="1"/>
  <c r="B5" i="2" s="1" a="1"/>
  <c r="B5" i="2" s="1"/>
  <c r="D5" i="2" s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B6" i="2" s="1" a="1"/>
  <c r="B6" i="2" s="1"/>
  <c r="D6" i="2" s="1"/>
  <c r="O56" i="1"/>
  <c r="B7" i="2" s="1" a="1"/>
  <c r="B7" i="2" s="1"/>
  <c r="D7" i="2" s="1"/>
  <c r="O57" i="1"/>
  <c r="O58" i="1"/>
  <c r="O59" i="1"/>
  <c r="O60" i="1"/>
  <c r="O61" i="1"/>
  <c r="O62" i="1"/>
  <c r="O63" i="1"/>
  <c r="O64" i="1"/>
  <c r="O65" i="1"/>
  <c r="O66" i="1"/>
  <c r="O67" i="1"/>
  <c r="O68" i="1"/>
  <c r="B8" i="2" s="1" a="1"/>
  <c r="B8" i="2" s="1"/>
  <c r="D8" i="2" s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B9" i="2" s="1" a="1"/>
  <c r="B9" i="2" s="1"/>
  <c r="D9" i="2" s="1"/>
  <c r="O91" i="1"/>
  <c r="O92" i="1"/>
  <c r="O93" i="1"/>
  <c r="O94" i="1"/>
  <c r="O95" i="1"/>
  <c r="O96" i="1"/>
  <c r="O97" i="1"/>
  <c r="O98" i="1"/>
  <c r="O99" i="1"/>
  <c r="O100" i="1"/>
  <c r="O101" i="1"/>
  <c r="B10" i="2" s="1" a="1"/>
  <c r="B10" i="2" s="1"/>
  <c r="D10" i="2" s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AA18" i="1" l="1"/>
  <c r="Z18" i="1"/>
  <c r="Y18" i="1"/>
  <c r="AA19" i="1"/>
  <c r="Z19" i="1"/>
  <c r="Z16" i="1"/>
  <c r="AA16" i="1"/>
  <c r="Y16" i="1"/>
  <c r="Y19" i="1"/>
  <c r="AA17" i="1"/>
  <c r="Z17" i="1"/>
  <c r="Y17" i="1"/>
  <c r="R1001" i="1" a="1"/>
  <c r="R1001" i="1" s="1"/>
  <c r="R1000" i="1" a="1"/>
  <c r="R1000" i="1" s="1"/>
  <c r="R999" i="1" a="1"/>
  <c r="R999" i="1" s="1"/>
  <c r="R998" i="1" a="1"/>
  <c r="R998" i="1" s="1"/>
  <c r="R997" i="1" a="1"/>
  <c r="R997" i="1" s="1"/>
  <c r="R996" i="1" a="1"/>
  <c r="R996" i="1" s="1"/>
  <c r="R995" i="1" a="1"/>
  <c r="R995" i="1" s="1"/>
  <c r="R994" i="1" a="1"/>
  <c r="R994" i="1" s="1"/>
  <c r="R993" i="1" a="1"/>
  <c r="R993" i="1" s="1"/>
  <c r="R992" i="1" a="1"/>
  <c r="R992" i="1" s="1"/>
  <c r="R991" i="1" a="1"/>
  <c r="R991" i="1" s="1"/>
  <c r="R990" i="1" a="1"/>
  <c r="R990" i="1" s="1"/>
  <c r="R989" i="1" a="1"/>
  <c r="R989" i="1" s="1"/>
  <c r="R988" i="1" a="1"/>
  <c r="R988" i="1" s="1"/>
  <c r="R987" i="1" a="1"/>
  <c r="R987" i="1" s="1"/>
  <c r="R986" i="1" a="1"/>
  <c r="R986" i="1" s="1"/>
  <c r="R985" i="1" a="1"/>
  <c r="R985" i="1" s="1"/>
  <c r="R984" i="1" a="1"/>
  <c r="R984" i="1" s="1"/>
  <c r="R983" i="1" a="1"/>
  <c r="R983" i="1" s="1"/>
  <c r="R982" i="1" a="1"/>
  <c r="R982" i="1" s="1"/>
  <c r="R981" i="1" a="1"/>
  <c r="R981" i="1" s="1"/>
  <c r="R980" i="1" a="1"/>
  <c r="R980" i="1" s="1"/>
  <c r="R979" i="1" a="1"/>
  <c r="R979" i="1" s="1"/>
  <c r="R978" i="1" a="1"/>
  <c r="R978" i="1" s="1"/>
  <c r="R977" i="1" a="1"/>
  <c r="R977" i="1" s="1"/>
  <c r="R976" i="1" a="1"/>
  <c r="R976" i="1" s="1"/>
  <c r="R975" i="1" a="1"/>
  <c r="R975" i="1" s="1"/>
  <c r="R974" i="1" a="1"/>
  <c r="R974" i="1" s="1"/>
  <c r="R973" i="1" a="1"/>
  <c r="R973" i="1" s="1"/>
  <c r="R972" i="1" a="1"/>
  <c r="R972" i="1" s="1"/>
  <c r="R971" i="1" a="1"/>
  <c r="R971" i="1" s="1"/>
  <c r="R970" i="1" a="1"/>
  <c r="R970" i="1" s="1"/>
  <c r="R969" i="1" a="1"/>
  <c r="R969" i="1" s="1"/>
  <c r="R968" i="1" a="1"/>
  <c r="R968" i="1" s="1"/>
  <c r="R967" i="1" a="1"/>
  <c r="R967" i="1" s="1"/>
  <c r="R966" i="1" a="1"/>
  <c r="R966" i="1" s="1"/>
  <c r="R965" i="1" a="1"/>
  <c r="R965" i="1" s="1"/>
  <c r="R964" i="1" a="1"/>
  <c r="R964" i="1" s="1"/>
  <c r="R963" i="1" a="1"/>
  <c r="R963" i="1" s="1"/>
  <c r="R962" i="1" a="1"/>
  <c r="R962" i="1" s="1"/>
  <c r="R961" i="1" a="1"/>
  <c r="R961" i="1" s="1"/>
  <c r="R960" i="1" a="1"/>
  <c r="R960" i="1" s="1"/>
  <c r="R959" i="1" a="1"/>
  <c r="R959" i="1" s="1"/>
  <c r="R958" i="1" a="1"/>
  <c r="R958" i="1" s="1"/>
  <c r="R957" i="1" a="1"/>
  <c r="R957" i="1" s="1"/>
  <c r="R956" i="1" a="1"/>
  <c r="R956" i="1" s="1"/>
  <c r="R955" i="1" a="1"/>
  <c r="R955" i="1" s="1"/>
  <c r="R954" i="1" a="1"/>
  <c r="R954" i="1" s="1"/>
  <c r="R953" i="1" a="1"/>
  <c r="R953" i="1" s="1"/>
  <c r="R952" i="1" a="1"/>
  <c r="R952" i="1" s="1"/>
  <c r="R951" i="1" a="1"/>
  <c r="R951" i="1" s="1"/>
  <c r="R950" i="1" a="1"/>
  <c r="R950" i="1" s="1"/>
  <c r="R949" i="1" a="1"/>
  <c r="R949" i="1" s="1"/>
  <c r="R948" i="1" a="1"/>
  <c r="R948" i="1" s="1"/>
  <c r="R947" i="1" a="1"/>
  <c r="R947" i="1" s="1"/>
  <c r="R946" i="1" a="1"/>
  <c r="R946" i="1" s="1"/>
  <c r="R945" i="1" a="1"/>
  <c r="R945" i="1" s="1"/>
  <c r="R944" i="1" a="1"/>
  <c r="R944" i="1" s="1"/>
  <c r="R943" i="1" a="1"/>
  <c r="R943" i="1" s="1"/>
  <c r="R942" i="1" a="1"/>
  <c r="R942" i="1" s="1"/>
  <c r="R941" i="1" a="1"/>
  <c r="R941" i="1" s="1"/>
  <c r="R940" i="1" a="1"/>
  <c r="R940" i="1" s="1"/>
  <c r="R939" i="1" a="1"/>
  <c r="R939" i="1" s="1"/>
  <c r="R938" i="1" a="1"/>
  <c r="R938" i="1" s="1"/>
  <c r="R937" i="1" a="1"/>
  <c r="R937" i="1" s="1"/>
  <c r="R936" i="1" a="1"/>
  <c r="R936" i="1" s="1"/>
  <c r="R935" i="1" a="1"/>
  <c r="R935" i="1" s="1"/>
  <c r="R934" i="1" a="1"/>
  <c r="R934" i="1" s="1"/>
  <c r="R933" i="1" a="1"/>
  <c r="R933" i="1" s="1"/>
  <c r="R932" i="1" a="1"/>
  <c r="R932" i="1" s="1"/>
  <c r="R931" i="1" a="1"/>
  <c r="R931" i="1" s="1"/>
  <c r="R930" i="1" a="1"/>
  <c r="R930" i="1" s="1"/>
  <c r="R929" i="1" a="1"/>
  <c r="R929" i="1" s="1"/>
  <c r="R928" i="1" a="1"/>
  <c r="R928" i="1" s="1"/>
  <c r="R927" i="1" a="1"/>
  <c r="R927" i="1" s="1"/>
  <c r="R926" i="1" a="1"/>
  <c r="R926" i="1" s="1"/>
  <c r="R925" i="1" a="1"/>
  <c r="R925" i="1" s="1"/>
  <c r="R924" i="1" a="1"/>
  <c r="R924" i="1" s="1"/>
  <c r="R923" i="1" a="1"/>
  <c r="R923" i="1" s="1"/>
  <c r="R922" i="1" a="1"/>
  <c r="R922" i="1" s="1"/>
  <c r="R921" i="1" a="1"/>
  <c r="R921" i="1" s="1"/>
  <c r="R920" i="1" a="1"/>
  <c r="R920" i="1" s="1"/>
  <c r="R919" i="1" a="1"/>
  <c r="R919" i="1" s="1"/>
  <c r="R918" i="1" a="1"/>
  <c r="R918" i="1" s="1"/>
  <c r="R917" i="1" a="1"/>
  <c r="R917" i="1" s="1"/>
  <c r="R916" i="1" a="1"/>
  <c r="R916" i="1" s="1"/>
  <c r="R915" i="1" a="1"/>
  <c r="R915" i="1" s="1"/>
  <c r="R914" i="1" a="1"/>
  <c r="R914" i="1" s="1"/>
  <c r="R913" i="1" a="1"/>
  <c r="R913" i="1" s="1"/>
  <c r="R912" i="1" a="1"/>
  <c r="R912" i="1" s="1"/>
  <c r="R911" i="1" a="1"/>
  <c r="R911" i="1" s="1"/>
  <c r="R910" i="1" a="1"/>
  <c r="R910" i="1" s="1"/>
  <c r="R909" i="1" a="1"/>
  <c r="R909" i="1" s="1"/>
  <c r="R908" i="1" a="1"/>
  <c r="R908" i="1" s="1"/>
  <c r="R907" i="1" a="1"/>
  <c r="R907" i="1" s="1"/>
  <c r="R906" i="1" a="1"/>
  <c r="R906" i="1" s="1"/>
  <c r="R905" i="1" a="1"/>
  <c r="R905" i="1" s="1"/>
  <c r="R904" i="1" a="1"/>
  <c r="R904" i="1" s="1"/>
  <c r="R903" i="1" a="1"/>
  <c r="R903" i="1" s="1"/>
  <c r="R902" i="1" a="1"/>
  <c r="R902" i="1" s="1"/>
  <c r="R901" i="1" a="1"/>
  <c r="R901" i="1" s="1"/>
  <c r="R900" i="1" a="1"/>
  <c r="R900" i="1" s="1"/>
  <c r="R899" i="1" a="1"/>
  <c r="R899" i="1" s="1"/>
  <c r="R898" i="1" a="1"/>
  <c r="R898" i="1" s="1"/>
  <c r="R897" i="1" a="1"/>
  <c r="R897" i="1" s="1"/>
  <c r="R896" i="1" a="1"/>
  <c r="R896" i="1" s="1"/>
  <c r="R895" i="1" a="1"/>
  <c r="R895" i="1" s="1"/>
  <c r="R894" i="1" a="1"/>
  <c r="R894" i="1" s="1"/>
  <c r="R893" i="1" a="1"/>
  <c r="R893" i="1" s="1"/>
  <c r="R892" i="1" a="1"/>
  <c r="R892" i="1" s="1"/>
  <c r="R891" i="1" a="1"/>
  <c r="R891" i="1" s="1"/>
  <c r="R890" i="1" a="1"/>
  <c r="R890" i="1" s="1"/>
  <c r="R889" i="1" a="1"/>
  <c r="R889" i="1" s="1"/>
  <c r="R888" i="1" a="1"/>
  <c r="R888" i="1" s="1"/>
  <c r="R887" i="1" a="1"/>
  <c r="R887" i="1" s="1"/>
  <c r="R886" i="1" a="1"/>
  <c r="R886" i="1" s="1"/>
  <c r="R885" i="1" a="1"/>
  <c r="R885" i="1" s="1"/>
  <c r="R884" i="1" a="1"/>
  <c r="R884" i="1" s="1"/>
  <c r="R883" i="1" a="1"/>
  <c r="R883" i="1" s="1"/>
  <c r="R882" i="1" a="1"/>
  <c r="R882" i="1" s="1"/>
  <c r="R881" i="1" a="1"/>
  <c r="R881" i="1" s="1"/>
  <c r="R880" i="1" a="1"/>
  <c r="R880" i="1" s="1"/>
  <c r="R879" i="1" a="1"/>
  <c r="R879" i="1" s="1"/>
  <c r="R878" i="1" a="1"/>
  <c r="R878" i="1" s="1"/>
  <c r="R877" i="1" a="1"/>
  <c r="R877" i="1" s="1"/>
  <c r="R876" i="1" a="1"/>
  <c r="R876" i="1" s="1"/>
  <c r="R875" i="1" a="1"/>
  <c r="R875" i="1" s="1"/>
  <c r="R874" i="1" a="1"/>
  <c r="R874" i="1" s="1"/>
  <c r="R873" i="1" a="1"/>
  <c r="R873" i="1" s="1"/>
  <c r="R872" i="1" a="1"/>
  <c r="R872" i="1" s="1"/>
  <c r="R871" i="1" a="1"/>
  <c r="R871" i="1" s="1"/>
  <c r="R870" i="1" a="1"/>
  <c r="R870" i="1" s="1"/>
  <c r="R869" i="1" a="1"/>
  <c r="R869" i="1" s="1"/>
  <c r="R868" i="1" a="1"/>
  <c r="R868" i="1" s="1"/>
  <c r="R867" i="1" a="1"/>
  <c r="R867" i="1" s="1"/>
  <c r="R866" i="1" a="1"/>
  <c r="R866" i="1" s="1"/>
  <c r="R865" i="1" a="1"/>
  <c r="R865" i="1" s="1"/>
  <c r="R864" i="1" a="1"/>
  <c r="R864" i="1" s="1"/>
  <c r="R863" i="1" a="1"/>
  <c r="R863" i="1" s="1"/>
  <c r="R862" i="1" a="1"/>
  <c r="R862" i="1" s="1"/>
  <c r="R861" i="1" a="1"/>
  <c r="R861" i="1" s="1"/>
  <c r="R860" i="1" a="1"/>
  <c r="R860" i="1" s="1"/>
  <c r="R859" i="1" a="1"/>
  <c r="R859" i="1" s="1"/>
  <c r="R858" i="1" a="1"/>
  <c r="R858" i="1" s="1"/>
  <c r="R857" i="1" a="1"/>
  <c r="R857" i="1" s="1"/>
  <c r="R856" i="1" a="1"/>
  <c r="R856" i="1" s="1"/>
  <c r="R855" i="1" a="1"/>
  <c r="R855" i="1" s="1"/>
  <c r="R854" i="1" a="1"/>
  <c r="R854" i="1" s="1"/>
  <c r="R853" i="1" a="1"/>
  <c r="R853" i="1" s="1"/>
  <c r="R852" i="1" a="1"/>
  <c r="R852" i="1" s="1"/>
  <c r="R851" i="1" a="1"/>
  <c r="R851" i="1" s="1"/>
  <c r="R850" i="1" a="1"/>
  <c r="R850" i="1" s="1"/>
  <c r="R849" i="1" a="1"/>
  <c r="R849" i="1" s="1"/>
  <c r="R848" i="1" a="1"/>
  <c r="R848" i="1" s="1"/>
  <c r="R847" i="1" a="1"/>
  <c r="R847" i="1" s="1"/>
  <c r="R846" i="1" a="1"/>
  <c r="R846" i="1" s="1"/>
  <c r="R845" i="1" a="1"/>
  <c r="R845" i="1" s="1"/>
  <c r="R844" i="1" a="1"/>
  <c r="R844" i="1" s="1"/>
  <c r="R843" i="1" a="1"/>
  <c r="R843" i="1" s="1"/>
  <c r="R842" i="1" a="1"/>
  <c r="R842" i="1" s="1"/>
  <c r="R841" i="1" a="1"/>
  <c r="R841" i="1" s="1"/>
  <c r="R840" i="1" a="1"/>
  <c r="R840" i="1" s="1"/>
  <c r="R839" i="1" a="1"/>
  <c r="R839" i="1" s="1"/>
  <c r="R838" i="1" a="1"/>
  <c r="R838" i="1" s="1"/>
  <c r="R837" i="1" a="1"/>
  <c r="R837" i="1" s="1"/>
  <c r="R836" i="1" a="1"/>
  <c r="R836" i="1" s="1"/>
  <c r="R835" i="1" a="1"/>
  <c r="R835" i="1" s="1"/>
  <c r="R834" i="1" a="1"/>
  <c r="R834" i="1" s="1"/>
  <c r="R833" i="1" a="1"/>
  <c r="R833" i="1" s="1"/>
  <c r="R832" i="1" a="1"/>
  <c r="R832" i="1" s="1"/>
  <c r="R831" i="1" a="1"/>
  <c r="R831" i="1" s="1"/>
  <c r="R830" i="1" a="1"/>
  <c r="R830" i="1" s="1"/>
  <c r="R829" i="1" a="1"/>
  <c r="R829" i="1" s="1"/>
  <c r="R828" i="1" a="1"/>
  <c r="R828" i="1" s="1"/>
  <c r="R827" i="1" a="1"/>
  <c r="R827" i="1" s="1"/>
  <c r="R826" i="1" a="1"/>
  <c r="R826" i="1" s="1"/>
  <c r="R825" i="1" a="1"/>
  <c r="R825" i="1" s="1"/>
  <c r="R824" i="1" a="1"/>
  <c r="R824" i="1" s="1"/>
  <c r="R823" i="1" a="1"/>
  <c r="R823" i="1" s="1"/>
  <c r="R822" i="1" a="1"/>
  <c r="R822" i="1" s="1"/>
  <c r="R821" i="1" a="1"/>
  <c r="R821" i="1" s="1"/>
  <c r="R820" i="1" a="1"/>
  <c r="R820" i="1" s="1"/>
  <c r="R819" i="1" a="1"/>
  <c r="R819" i="1" s="1"/>
  <c r="R818" i="1" a="1"/>
  <c r="R818" i="1" s="1"/>
  <c r="R817" i="1" a="1"/>
  <c r="R817" i="1" s="1"/>
  <c r="R816" i="1" a="1"/>
  <c r="R816" i="1" s="1"/>
  <c r="R815" i="1" a="1"/>
  <c r="R815" i="1" s="1"/>
  <c r="R814" i="1" a="1"/>
  <c r="R814" i="1" s="1"/>
  <c r="R813" i="1" a="1"/>
  <c r="R813" i="1" s="1"/>
  <c r="R812" i="1" a="1"/>
  <c r="R812" i="1" s="1"/>
  <c r="R811" i="1" a="1"/>
  <c r="R811" i="1" s="1"/>
  <c r="R810" i="1" a="1"/>
  <c r="R810" i="1" s="1"/>
  <c r="R809" i="1" a="1"/>
  <c r="R809" i="1" s="1"/>
  <c r="R808" i="1" a="1"/>
  <c r="R808" i="1" s="1"/>
  <c r="R807" i="1" a="1"/>
  <c r="R807" i="1" s="1"/>
  <c r="R806" i="1" a="1"/>
  <c r="R806" i="1" s="1"/>
  <c r="R805" i="1" a="1"/>
  <c r="R805" i="1" s="1"/>
  <c r="R804" i="1" a="1"/>
  <c r="R804" i="1" s="1"/>
  <c r="R803" i="1" a="1"/>
  <c r="R803" i="1" s="1"/>
  <c r="R802" i="1" a="1"/>
  <c r="R802" i="1" s="1"/>
  <c r="R801" i="1" a="1"/>
  <c r="R801" i="1" s="1"/>
  <c r="R800" i="1" a="1"/>
  <c r="R800" i="1" s="1"/>
  <c r="R799" i="1" a="1"/>
  <c r="R799" i="1" s="1"/>
  <c r="R798" i="1" a="1"/>
  <c r="R798" i="1" s="1"/>
  <c r="R797" i="1" a="1"/>
  <c r="R797" i="1" s="1"/>
  <c r="R796" i="1" a="1"/>
  <c r="R796" i="1" s="1"/>
  <c r="R795" i="1" a="1"/>
  <c r="R795" i="1" s="1"/>
  <c r="R794" i="1" a="1"/>
  <c r="R794" i="1" s="1"/>
  <c r="R793" i="1" a="1"/>
  <c r="R793" i="1" s="1"/>
  <c r="R792" i="1" a="1"/>
  <c r="R792" i="1" s="1"/>
  <c r="R791" i="1" a="1"/>
  <c r="R791" i="1" s="1"/>
  <c r="R790" i="1" a="1"/>
  <c r="R790" i="1" s="1"/>
  <c r="R789" i="1" a="1"/>
  <c r="R789" i="1" s="1"/>
  <c r="R788" i="1" a="1"/>
  <c r="R788" i="1" s="1"/>
  <c r="R787" i="1" a="1"/>
  <c r="R787" i="1" s="1"/>
  <c r="R786" i="1" a="1"/>
  <c r="R786" i="1" s="1"/>
  <c r="R785" i="1" a="1"/>
  <c r="R785" i="1" s="1"/>
  <c r="R784" i="1" a="1"/>
  <c r="R784" i="1" s="1"/>
  <c r="R783" i="1" a="1"/>
  <c r="R783" i="1" s="1"/>
  <c r="R782" i="1" a="1"/>
  <c r="R782" i="1" s="1"/>
  <c r="R781" i="1" a="1"/>
  <c r="R781" i="1" s="1"/>
  <c r="R780" i="1" a="1"/>
  <c r="R780" i="1" s="1"/>
  <c r="R779" i="1" a="1"/>
  <c r="R779" i="1" s="1"/>
  <c r="R778" i="1" a="1"/>
  <c r="R778" i="1" s="1"/>
  <c r="R777" i="1" a="1"/>
  <c r="R777" i="1" s="1"/>
  <c r="R776" i="1" a="1"/>
  <c r="R776" i="1" s="1"/>
  <c r="R775" i="1" a="1"/>
  <c r="R775" i="1" s="1"/>
  <c r="R774" i="1" a="1"/>
  <c r="R774" i="1" s="1"/>
  <c r="R773" i="1" a="1"/>
  <c r="R773" i="1" s="1"/>
  <c r="R772" i="1" a="1"/>
  <c r="R772" i="1" s="1"/>
  <c r="R771" i="1" a="1"/>
  <c r="R771" i="1" s="1"/>
  <c r="R770" i="1" a="1"/>
  <c r="R770" i="1" s="1"/>
  <c r="R769" i="1" a="1"/>
  <c r="R769" i="1" s="1"/>
  <c r="R768" i="1" a="1"/>
  <c r="R768" i="1" s="1"/>
  <c r="R767" i="1" a="1"/>
  <c r="R767" i="1" s="1"/>
  <c r="R766" i="1" a="1"/>
  <c r="R766" i="1" s="1"/>
  <c r="R765" i="1" a="1"/>
  <c r="R765" i="1" s="1"/>
  <c r="R764" i="1" a="1"/>
  <c r="R764" i="1" s="1"/>
  <c r="R763" i="1" a="1"/>
  <c r="R763" i="1" s="1"/>
  <c r="R762" i="1" a="1"/>
  <c r="R762" i="1" s="1"/>
  <c r="R761" i="1" a="1"/>
  <c r="R761" i="1" s="1"/>
  <c r="R760" i="1" a="1"/>
  <c r="R760" i="1" s="1"/>
  <c r="R759" i="1" a="1"/>
  <c r="R759" i="1" s="1"/>
  <c r="R758" i="1" a="1"/>
  <c r="R758" i="1" s="1"/>
  <c r="R757" i="1" a="1"/>
  <c r="R757" i="1" s="1"/>
  <c r="R756" i="1" a="1"/>
  <c r="R756" i="1" s="1"/>
  <c r="R755" i="1" a="1"/>
  <c r="R755" i="1" s="1"/>
  <c r="R754" i="1" a="1"/>
  <c r="R754" i="1" s="1"/>
  <c r="R753" i="1" a="1"/>
  <c r="R753" i="1" s="1"/>
  <c r="R752" i="1" a="1"/>
  <c r="R752" i="1" s="1"/>
  <c r="R751" i="1" a="1"/>
  <c r="R751" i="1" s="1"/>
  <c r="R750" i="1" a="1"/>
  <c r="R750" i="1" s="1"/>
  <c r="R749" i="1" a="1"/>
  <c r="R749" i="1" s="1"/>
  <c r="R748" i="1" a="1"/>
  <c r="R748" i="1" s="1"/>
  <c r="R747" i="1" a="1"/>
  <c r="R747" i="1" s="1"/>
  <c r="R746" i="1" a="1"/>
  <c r="R746" i="1" s="1"/>
  <c r="R745" i="1" a="1"/>
  <c r="R745" i="1" s="1"/>
  <c r="R744" i="1" a="1"/>
  <c r="R744" i="1" s="1"/>
  <c r="R743" i="1" a="1"/>
  <c r="R743" i="1" s="1"/>
  <c r="R742" i="1" a="1"/>
  <c r="R742" i="1" s="1"/>
  <c r="R741" i="1" a="1"/>
  <c r="R741" i="1" s="1"/>
  <c r="R740" i="1" a="1"/>
  <c r="R740" i="1" s="1"/>
  <c r="R739" i="1" a="1"/>
  <c r="R739" i="1" s="1"/>
  <c r="R738" i="1" a="1"/>
  <c r="R738" i="1" s="1"/>
  <c r="R737" i="1" a="1"/>
  <c r="R737" i="1" s="1"/>
  <c r="R736" i="1" a="1"/>
  <c r="R736" i="1" s="1"/>
  <c r="R735" i="1" a="1"/>
  <c r="R735" i="1" s="1"/>
  <c r="R734" i="1" a="1"/>
  <c r="R734" i="1" s="1"/>
  <c r="R733" i="1" a="1"/>
  <c r="R733" i="1" s="1"/>
  <c r="R732" i="1" a="1"/>
  <c r="R732" i="1" s="1"/>
  <c r="R731" i="1" a="1"/>
  <c r="R731" i="1" s="1"/>
  <c r="R730" i="1" a="1"/>
  <c r="R730" i="1" s="1"/>
  <c r="R729" i="1" a="1"/>
  <c r="R729" i="1" s="1"/>
  <c r="R728" i="1" a="1"/>
  <c r="R728" i="1" s="1"/>
  <c r="R727" i="1" a="1"/>
  <c r="R727" i="1" s="1"/>
  <c r="R726" i="1" a="1"/>
  <c r="R726" i="1" s="1"/>
  <c r="R725" i="1" a="1"/>
  <c r="R725" i="1" s="1"/>
  <c r="R724" i="1" a="1"/>
  <c r="R724" i="1" s="1"/>
  <c r="R723" i="1" a="1"/>
  <c r="R723" i="1" s="1"/>
  <c r="R722" i="1" a="1"/>
  <c r="R722" i="1" s="1"/>
  <c r="R721" i="1" a="1"/>
  <c r="R721" i="1" s="1"/>
  <c r="R720" i="1" a="1"/>
  <c r="R720" i="1" s="1"/>
  <c r="R719" i="1" a="1"/>
  <c r="R719" i="1" s="1"/>
  <c r="R718" i="1" a="1"/>
  <c r="R718" i="1" s="1"/>
  <c r="R717" i="1" a="1"/>
  <c r="R717" i="1" s="1"/>
  <c r="R716" i="1" a="1"/>
  <c r="R716" i="1" s="1"/>
  <c r="R715" i="1" a="1"/>
  <c r="R715" i="1" s="1"/>
  <c r="R714" i="1" a="1"/>
  <c r="R714" i="1" s="1"/>
  <c r="R713" i="1" a="1"/>
  <c r="R713" i="1" s="1"/>
  <c r="R712" i="1" a="1"/>
  <c r="R712" i="1" s="1"/>
  <c r="R711" i="1" a="1"/>
  <c r="R711" i="1" s="1"/>
  <c r="R710" i="1" a="1"/>
  <c r="R710" i="1" s="1"/>
  <c r="R709" i="1" a="1"/>
  <c r="R709" i="1" s="1"/>
  <c r="R708" i="1" a="1"/>
  <c r="R708" i="1" s="1"/>
  <c r="R707" i="1" a="1"/>
  <c r="R707" i="1" s="1"/>
  <c r="R706" i="1" a="1"/>
  <c r="R706" i="1" s="1"/>
  <c r="R705" i="1" a="1"/>
  <c r="R705" i="1" s="1"/>
  <c r="R704" i="1" a="1"/>
  <c r="R704" i="1" s="1"/>
  <c r="R703" i="1" a="1"/>
  <c r="R703" i="1" s="1"/>
  <c r="R702" i="1" a="1"/>
  <c r="R702" i="1" s="1"/>
  <c r="R701" i="1" a="1"/>
  <c r="R701" i="1" s="1"/>
  <c r="R700" i="1" a="1"/>
  <c r="R700" i="1" s="1"/>
  <c r="R699" i="1" a="1"/>
  <c r="R699" i="1" s="1"/>
  <c r="R698" i="1" a="1"/>
  <c r="R698" i="1" s="1"/>
  <c r="R697" i="1" a="1"/>
  <c r="R697" i="1" s="1"/>
  <c r="R696" i="1" a="1"/>
  <c r="R696" i="1" s="1"/>
  <c r="R695" i="1" a="1"/>
  <c r="R695" i="1" s="1"/>
  <c r="R694" i="1" a="1"/>
  <c r="R694" i="1" s="1"/>
  <c r="R693" i="1" a="1"/>
  <c r="R693" i="1" s="1"/>
  <c r="R692" i="1" a="1"/>
  <c r="R692" i="1" s="1"/>
  <c r="R691" i="1" a="1"/>
  <c r="R691" i="1" s="1"/>
  <c r="R690" i="1" a="1"/>
  <c r="R690" i="1" s="1"/>
  <c r="R689" i="1" a="1"/>
  <c r="R689" i="1" s="1"/>
  <c r="R688" i="1" a="1"/>
  <c r="R688" i="1" s="1"/>
  <c r="R687" i="1" a="1"/>
  <c r="R687" i="1" s="1"/>
  <c r="R686" i="1" a="1"/>
  <c r="R686" i="1" s="1"/>
  <c r="R685" i="1" a="1"/>
  <c r="R685" i="1" s="1"/>
  <c r="R684" i="1" a="1"/>
  <c r="R684" i="1" s="1"/>
  <c r="R683" i="1" a="1"/>
  <c r="R683" i="1" s="1"/>
  <c r="R682" i="1" a="1"/>
  <c r="R682" i="1" s="1"/>
  <c r="R681" i="1" a="1"/>
  <c r="R681" i="1" s="1"/>
  <c r="R680" i="1" a="1"/>
  <c r="R680" i="1" s="1"/>
  <c r="R679" i="1" a="1"/>
  <c r="R679" i="1" s="1"/>
  <c r="R678" i="1" a="1"/>
  <c r="R678" i="1" s="1"/>
  <c r="R677" i="1" a="1"/>
  <c r="R677" i="1" s="1"/>
  <c r="R676" i="1" a="1"/>
  <c r="R676" i="1" s="1"/>
  <c r="R675" i="1" a="1"/>
  <c r="R675" i="1" s="1"/>
  <c r="R674" i="1" a="1"/>
  <c r="R674" i="1" s="1"/>
  <c r="R673" i="1" a="1"/>
  <c r="R673" i="1" s="1"/>
  <c r="R672" i="1" a="1"/>
  <c r="R672" i="1" s="1"/>
  <c r="R671" i="1" a="1"/>
  <c r="R671" i="1" s="1"/>
  <c r="R670" i="1" a="1"/>
  <c r="R670" i="1" s="1"/>
  <c r="R669" i="1" a="1"/>
  <c r="R669" i="1" s="1"/>
  <c r="R668" i="1" a="1"/>
  <c r="R668" i="1" s="1"/>
  <c r="R667" i="1" a="1"/>
  <c r="R667" i="1" s="1"/>
  <c r="R666" i="1" a="1"/>
  <c r="R666" i="1" s="1"/>
  <c r="R665" i="1" a="1"/>
  <c r="R665" i="1" s="1"/>
  <c r="R664" i="1" a="1"/>
  <c r="R664" i="1" s="1"/>
  <c r="R663" i="1" a="1"/>
  <c r="R663" i="1" s="1"/>
  <c r="R662" i="1" a="1"/>
  <c r="R662" i="1" s="1"/>
  <c r="R661" i="1" a="1"/>
  <c r="R661" i="1" s="1"/>
  <c r="R660" i="1" a="1"/>
  <c r="R660" i="1" s="1"/>
  <c r="R659" i="1" a="1"/>
  <c r="R659" i="1" s="1"/>
  <c r="R658" i="1" a="1"/>
  <c r="R658" i="1" s="1"/>
  <c r="R657" i="1" a="1"/>
  <c r="R657" i="1" s="1"/>
  <c r="R656" i="1" a="1"/>
  <c r="R656" i="1" s="1"/>
  <c r="R655" i="1" a="1"/>
  <c r="R655" i="1" s="1"/>
  <c r="R654" i="1" a="1"/>
  <c r="R654" i="1" s="1"/>
  <c r="R653" i="1" a="1"/>
  <c r="R653" i="1" s="1"/>
  <c r="R652" i="1" a="1"/>
  <c r="R652" i="1" s="1"/>
  <c r="R651" i="1" a="1"/>
  <c r="R651" i="1" s="1"/>
  <c r="R650" i="1" a="1"/>
  <c r="R650" i="1" s="1"/>
  <c r="R649" i="1" a="1"/>
  <c r="R649" i="1" s="1"/>
  <c r="R648" i="1" a="1"/>
  <c r="R648" i="1" s="1"/>
  <c r="R647" i="1" a="1"/>
  <c r="R647" i="1" s="1"/>
  <c r="R646" i="1" a="1"/>
  <c r="R646" i="1" s="1"/>
  <c r="R645" i="1" a="1"/>
  <c r="R645" i="1" s="1"/>
  <c r="R644" i="1" a="1"/>
  <c r="R644" i="1" s="1"/>
  <c r="R643" i="1" a="1"/>
  <c r="R643" i="1" s="1"/>
  <c r="R642" i="1" a="1"/>
  <c r="R642" i="1" s="1"/>
  <c r="R641" i="1" a="1"/>
  <c r="R641" i="1" s="1"/>
  <c r="R640" i="1" a="1"/>
  <c r="R640" i="1" s="1"/>
  <c r="R639" i="1" a="1"/>
  <c r="R639" i="1" s="1"/>
  <c r="R638" i="1" a="1"/>
  <c r="R638" i="1" s="1"/>
  <c r="R637" i="1" a="1"/>
  <c r="R637" i="1" s="1"/>
  <c r="R636" i="1" a="1"/>
  <c r="R636" i="1" s="1"/>
  <c r="R635" i="1" a="1"/>
  <c r="R635" i="1" s="1"/>
  <c r="R634" i="1" a="1"/>
  <c r="R634" i="1" s="1"/>
  <c r="R633" i="1" a="1"/>
  <c r="R633" i="1" s="1"/>
  <c r="R632" i="1" a="1"/>
  <c r="R632" i="1" s="1"/>
  <c r="R631" i="1" a="1"/>
  <c r="R631" i="1" s="1"/>
  <c r="R630" i="1" a="1"/>
  <c r="R630" i="1" s="1"/>
  <c r="R629" i="1" a="1"/>
  <c r="R629" i="1" s="1"/>
  <c r="R628" i="1" a="1"/>
  <c r="R628" i="1" s="1"/>
  <c r="R627" i="1" a="1"/>
  <c r="R627" i="1" s="1"/>
  <c r="R626" i="1" a="1"/>
  <c r="R626" i="1" s="1"/>
  <c r="R625" i="1" a="1"/>
  <c r="R625" i="1" s="1"/>
  <c r="R624" i="1" a="1"/>
  <c r="R624" i="1" s="1"/>
  <c r="R623" i="1" a="1"/>
  <c r="R623" i="1" s="1"/>
  <c r="R622" i="1" a="1"/>
  <c r="R622" i="1" s="1"/>
  <c r="R621" i="1" a="1"/>
  <c r="R621" i="1" s="1"/>
  <c r="R620" i="1" a="1"/>
  <c r="R620" i="1" s="1"/>
  <c r="R619" i="1" a="1"/>
  <c r="R619" i="1" s="1"/>
  <c r="R618" i="1" a="1"/>
  <c r="R618" i="1" s="1"/>
  <c r="R617" i="1" a="1"/>
  <c r="R617" i="1" s="1"/>
  <c r="R616" i="1" a="1"/>
  <c r="R616" i="1" s="1"/>
  <c r="R615" i="1" a="1"/>
  <c r="R615" i="1" s="1"/>
  <c r="R614" i="1" a="1"/>
  <c r="R614" i="1" s="1"/>
  <c r="R613" i="1" a="1"/>
  <c r="R613" i="1" s="1"/>
  <c r="R612" i="1" a="1"/>
  <c r="R612" i="1" s="1"/>
  <c r="R611" i="1" a="1"/>
  <c r="R611" i="1" s="1"/>
  <c r="R610" i="1" a="1"/>
  <c r="R610" i="1" s="1"/>
  <c r="R609" i="1" a="1"/>
  <c r="R609" i="1" s="1"/>
  <c r="R608" i="1" a="1"/>
  <c r="R608" i="1" s="1"/>
  <c r="R607" i="1" a="1"/>
  <c r="R607" i="1" s="1"/>
  <c r="R606" i="1" a="1"/>
  <c r="R606" i="1" s="1"/>
  <c r="R605" i="1" a="1"/>
  <c r="R605" i="1" s="1"/>
  <c r="R604" i="1" a="1"/>
  <c r="R604" i="1" s="1"/>
  <c r="R603" i="1" a="1"/>
  <c r="R603" i="1" s="1"/>
  <c r="R602" i="1" a="1"/>
  <c r="R602" i="1" s="1"/>
  <c r="R601" i="1" a="1"/>
  <c r="R601" i="1" s="1"/>
  <c r="R600" i="1" a="1"/>
  <c r="R600" i="1" s="1"/>
  <c r="R599" i="1" a="1"/>
  <c r="R599" i="1" s="1"/>
  <c r="R598" i="1" a="1"/>
  <c r="R598" i="1" s="1"/>
  <c r="R597" i="1" a="1"/>
  <c r="R597" i="1" s="1"/>
  <c r="R596" i="1" a="1"/>
  <c r="R596" i="1" s="1"/>
  <c r="R595" i="1" a="1"/>
  <c r="R595" i="1" s="1"/>
  <c r="R594" i="1" a="1"/>
  <c r="R594" i="1" s="1"/>
  <c r="R593" i="1" a="1"/>
  <c r="R593" i="1" s="1"/>
  <c r="R592" i="1" a="1"/>
  <c r="R592" i="1" s="1"/>
  <c r="R591" i="1" a="1"/>
  <c r="R591" i="1" s="1"/>
  <c r="R590" i="1" a="1"/>
  <c r="R590" i="1" s="1"/>
  <c r="R589" i="1" a="1"/>
  <c r="R589" i="1" s="1"/>
  <c r="R588" i="1" a="1"/>
  <c r="R588" i="1" s="1"/>
  <c r="R587" i="1" a="1"/>
  <c r="R587" i="1" s="1"/>
  <c r="R586" i="1" a="1"/>
  <c r="R586" i="1" s="1"/>
  <c r="R585" i="1" a="1"/>
  <c r="R585" i="1" s="1"/>
  <c r="R584" i="1" a="1"/>
  <c r="R584" i="1" s="1"/>
  <c r="R583" i="1" a="1"/>
  <c r="R583" i="1" s="1"/>
  <c r="R582" i="1" a="1"/>
  <c r="R582" i="1" s="1"/>
  <c r="R581" i="1" a="1"/>
  <c r="R581" i="1" s="1"/>
  <c r="R580" i="1" a="1"/>
  <c r="R580" i="1" s="1"/>
  <c r="R579" i="1" a="1"/>
  <c r="R579" i="1" s="1"/>
  <c r="R578" i="1" a="1"/>
  <c r="R578" i="1" s="1"/>
  <c r="R577" i="1" a="1"/>
  <c r="R577" i="1" s="1"/>
  <c r="R576" i="1" a="1"/>
  <c r="R576" i="1" s="1"/>
  <c r="R575" i="1" a="1"/>
  <c r="R575" i="1" s="1"/>
  <c r="R574" i="1" a="1"/>
  <c r="R574" i="1" s="1"/>
  <c r="R573" i="1" a="1"/>
  <c r="R573" i="1" s="1"/>
  <c r="R572" i="1" a="1"/>
  <c r="R572" i="1" s="1"/>
  <c r="R571" i="1" a="1"/>
  <c r="R571" i="1" s="1"/>
  <c r="R570" i="1" a="1"/>
  <c r="R570" i="1" s="1"/>
  <c r="R569" i="1" a="1"/>
  <c r="R569" i="1" s="1"/>
  <c r="R568" i="1" a="1"/>
  <c r="R568" i="1" s="1"/>
  <c r="R567" i="1" a="1"/>
  <c r="R567" i="1" s="1"/>
  <c r="R566" i="1" a="1"/>
  <c r="R566" i="1" s="1"/>
  <c r="R565" i="1" a="1"/>
  <c r="R565" i="1" s="1"/>
  <c r="R564" i="1" a="1"/>
  <c r="R564" i="1" s="1"/>
  <c r="R563" i="1" a="1"/>
  <c r="R563" i="1" s="1"/>
  <c r="R562" i="1" a="1"/>
  <c r="R562" i="1" s="1"/>
  <c r="R561" i="1" a="1"/>
  <c r="R561" i="1" s="1"/>
  <c r="R560" i="1" a="1"/>
  <c r="R560" i="1" s="1"/>
  <c r="R559" i="1" a="1"/>
  <c r="R559" i="1" s="1"/>
  <c r="R558" i="1" a="1"/>
  <c r="R558" i="1" s="1"/>
  <c r="R557" i="1" a="1"/>
  <c r="R557" i="1" s="1"/>
  <c r="R556" i="1" a="1"/>
  <c r="R556" i="1" s="1"/>
  <c r="R555" i="1" a="1"/>
  <c r="R555" i="1" s="1"/>
  <c r="R554" i="1" a="1"/>
  <c r="R554" i="1" s="1"/>
  <c r="R553" i="1" a="1"/>
  <c r="R553" i="1" s="1"/>
  <c r="R552" i="1" a="1"/>
  <c r="R552" i="1" s="1"/>
  <c r="R551" i="1" a="1"/>
  <c r="R551" i="1" s="1"/>
  <c r="R550" i="1" a="1"/>
  <c r="R550" i="1" s="1"/>
  <c r="R549" i="1" a="1"/>
  <c r="R549" i="1" s="1"/>
  <c r="R548" i="1" a="1"/>
  <c r="R548" i="1" s="1"/>
  <c r="R547" i="1" a="1"/>
  <c r="R547" i="1" s="1"/>
  <c r="R546" i="1" a="1"/>
  <c r="R546" i="1" s="1"/>
  <c r="R545" i="1" a="1"/>
  <c r="R545" i="1" s="1"/>
  <c r="R544" i="1" a="1"/>
  <c r="R544" i="1" s="1"/>
  <c r="R543" i="1" a="1"/>
  <c r="R543" i="1" s="1"/>
  <c r="R542" i="1" a="1"/>
  <c r="R542" i="1" s="1"/>
  <c r="R541" i="1" a="1"/>
  <c r="R541" i="1" s="1"/>
  <c r="R540" i="1" a="1"/>
  <c r="R540" i="1" s="1"/>
  <c r="R539" i="1" a="1"/>
  <c r="R539" i="1" s="1"/>
  <c r="R538" i="1" a="1"/>
  <c r="R538" i="1" s="1"/>
  <c r="R537" i="1" a="1"/>
  <c r="R537" i="1" s="1"/>
  <c r="R536" i="1" a="1"/>
  <c r="R536" i="1" s="1"/>
  <c r="R535" i="1" a="1"/>
  <c r="R535" i="1" s="1"/>
  <c r="R534" i="1" a="1"/>
  <c r="R534" i="1" s="1"/>
  <c r="R533" i="1" a="1"/>
  <c r="R533" i="1" s="1"/>
  <c r="R532" i="1" a="1"/>
  <c r="R532" i="1" s="1"/>
  <c r="R531" i="1" a="1"/>
  <c r="R531" i="1" s="1"/>
  <c r="R530" i="1" a="1"/>
  <c r="R530" i="1" s="1"/>
  <c r="R529" i="1" a="1"/>
  <c r="R529" i="1" s="1"/>
  <c r="R528" i="1" a="1"/>
  <c r="R528" i="1" s="1"/>
  <c r="R527" i="1" a="1"/>
  <c r="R527" i="1" s="1"/>
  <c r="R526" i="1" a="1"/>
  <c r="R526" i="1" s="1"/>
  <c r="R525" i="1" a="1"/>
  <c r="R525" i="1" s="1"/>
  <c r="R524" i="1" a="1"/>
  <c r="R524" i="1" s="1"/>
  <c r="R523" i="1" a="1"/>
  <c r="R523" i="1" s="1"/>
  <c r="R522" i="1" a="1"/>
  <c r="R522" i="1" s="1"/>
  <c r="R521" i="1" a="1"/>
  <c r="R521" i="1" s="1"/>
  <c r="R520" i="1" a="1"/>
  <c r="R520" i="1" s="1"/>
  <c r="R519" i="1" a="1"/>
  <c r="R519" i="1" s="1"/>
  <c r="R518" i="1" a="1"/>
  <c r="R518" i="1" s="1"/>
  <c r="R517" i="1" a="1"/>
  <c r="R517" i="1" s="1"/>
  <c r="R516" i="1" a="1"/>
  <c r="R516" i="1" s="1"/>
  <c r="R515" i="1" a="1"/>
  <c r="R515" i="1" s="1"/>
  <c r="R514" i="1" a="1"/>
  <c r="R514" i="1" s="1"/>
  <c r="R513" i="1" a="1"/>
  <c r="R513" i="1" s="1"/>
  <c r="R512" i="1" a="1"/>
  <c r="R512" i="1" s="1"/>
  <c r="R511" i="1" a="1"/>
  <c r="R511" i="1" s="1"/>
  <c r="R510" i="1" a="1"/>
  <c r="R510" i="1" s="1"/>
  <c r="R509" i="1" a="1"/>
  <c r="R509" i="1" s="1"/>
  <c r="R508" i="1" a="1"/>
  <c r="R508" i="1" s="1"/>
  <c r="R507" i="1" a="1"/>
  <c r="R507" i="1" s="1"/>
  <c r="R506" i="1" a="1"/>
  <c r="R506" i="1" s="1"/>
  <c r="R505" i="1" a="1"/>
  <c r="R505" i="1" s="1"/>
  <c r="R504" i="1" a="1"/>
  <c r="R504" i="1" s="1"/>
  <c r="R503" i="1" a="1"/>
  <c r="R503" i="1" s="1"/>
  <c r="R502" i="1" a="1"/>
  <c r="R502" i="1" s="1"/>
  <c r="R501" i="1" a="1"/>
  <c r="R501" i="1" s="1"/>
  <c r="R500" i="1" a="1"/>
  <c r="R500" i="1" s="1"/>
  <c r="R499" i="1" a="1"/>
  <c r="R499" i="1" s="1"/>
  <c r="R498" i="1" a="1"/>
  <c r="R498" i="1" s="1"/>
  <c r="R497" i="1" a="1"/>
  <c r="R497" i="1" s="1"/>
  <c r="R496" i="1" a="1"/>
  <c r="R496" i="1" s="1"/>
  <c r="R495" i="1" a="1"/>
  <c r="R495" i="1" s="1"/>
  <c r="R494" i="1" a="1"/>
  <c r="R494" i="1" s="1"/>
  <c r="R493" i="1" a="1"/>
  <c r="R493" i="1" s="1"/>
  <c r="R492" i="1" a="1"/>
  <c r="R492" i="1" s="1"/>
  <c r="R491" i="1" a="1"/>
  <c r="R491" i="1" s="1"/>
  <c r="R490" i="1" a="1"/>
  <c r="R490" i="1" s="1"/>
  <c r="R489" i="1" a="1"/>
  <c r="R489" i="1" s="1"/>
  <c r="R488" i="1" a="1"/>
  <c r="R488" i="1" s="1"/>
  <c r="R487" i="1" a="1"/>
  <c r="R487" i="1" s="1"/>
  <c r="R486" i="1" a="1"/>
  <c r="R486" i="1" s="1"/>
  <c r="R485" i="1" a="1"/>
  <c r="R485" i="1" s="1"/>
  <c r="R484" i="1" a="1"/>
  <c r="R484" i="1" s="1"/>
  <c r="R483" i="1" a="1"/>
  <c r="R483" i="1" s="1"/>
  <c r="R482" i="1" a="1"/>
  <c r="R482" i="1" s="1"/>
  <c r="R481" i="1" a="1"/>
  <c r="R481" i="1" s="1"/>
  <c r="R480" i="1" a="1"/>
  <c r="R480" i="1" s="1"/>
  <c r="R479" i="1" a="1"/>
  <c r="R479" i="1" s="1"/>
  <c r="R478" i="1" a="1"/>
  <c r="R478" i="1" s="1"/>
  <c r="R477" i="1" a="1"/>
  <c r="R477" i="1" s="1"/>
  <c r="R476" i="1" a="1"/>
  <c r="R476" i="1" s="1"/>
  <c r="R475" i="1" a="1"/>
  <c r="R475" i="1" s="1"/>
  <c r="R474" i="1" a="1"/>
  <c r="R474" i="1" s="1"/>
  <c r="R473" i="1" a="1"/>
  <c r="R473" i="1" s="1"/>
  <c r="R472" i="1" a="1"/>
  <c r="R472" i="1" s="1"/>
  <c r="R471" i="1" a="1"/>
  <c r="R471" i="1" s="1"/>
  <c r="R470" i="1" a="1"/>
  <c r="R470" i="1" s="1"/>
  <c r="R469" i="1" a="1"/>
  <c r="R469" i="1" s="1"/>
  <c r="R468" i="1" a="1"/>
  <c r="R468" i="1" s="1"/>
  <c r="R467" i="1" a="1"/>
  <c r="R467" i="1" s="1"/>
  <c r="R466" i="1" a="1"/>
  <c r="R466" i="1" s="1"/>
  <c r="R465" i="1" a="1"/>
  <c r="R465" i="1" s="1"/>
  <c r="R464" i="1" a="1"/>
  <c r="R464" i="1" s="1"/>
  <c r="R463" i="1" a="1"/>
  <c r="R463" i="1" s="1"/>
  <c r="R462" i="1" a="1"/>
  <c r="R462" i="1" s="1"/>
  <c r="R461" i="1" a="1"/>
  <c r="R461" i="1" s="1"/>
  <c r="R460" i="1" a="1"/>
  <c r="R460" i="1" s="1"/>
  <c r="R459" i="1" a="1"/>
  <c r="R459" i="1" s="1"/>
  <c r="R458" i="1" a="1"/>
  <c r="R458" i="1" s="1"/>
  <c r="R457" i="1" a="1"/>
  <c r="R457" i="1" s="1"/>
  <c r="R456" i="1" a="1"/>
  <c r="R456" i="1" s="1"/>
  <c r="R455" i="1" a="1"/>
  <c r="R455" i="1" s="1"/>
  <c r="R454" i="1" a="1"/>
  <c r="R454" i="1" s="1"/>
  <c r="R453" i="1" a="1"/>
  <c r="R453" i="1" s="1"/>
  <c r="R452" i="1" a="1"/>
  <c r="R452" i="1" s="1"/>
  <c r="R451" i="1" a="1"/>
  <c r="R451" i="1" s="1"/>
  <c r="R450" i="1" a="1"/>
  <c r="R450" i="1" s="1"/>
  <c r="R449" i="1" a="1"/>
  <c r="R449" i="1" s="1"/>
  <c r="R448" i="1" a="1"/>
  <c r="R448" i="1" s="1"/>
  <c r="R447" i="1" a="1"/>
  <c r="R447" i="1" s="1"/>
  <c r="R446" i="1" a="1"/>
  <c r="R446" i="1" s="1"/>
  <c r="R445" i="1" a="1"/>
  <c r="R445" i="1" s="1"/>
  <c r="R444" i="1" a="1"/>
  <c r="R444" i="1" s="1"/>
  <c r="R443" i="1" a="1"/>
  <c r="R443" i="1" s="1"/>
  <c r="R442" i="1" a="1"/>
  <c r="R442" i="1" s="1"/>
  <c r="R441" i="1" a="1"/>
  <c r="R441" i="1" s="1"/>
  <c r="R440" i="1" a="1"/>
  <c r="R440" i="1" s="1"/>
  <c r="R439" i="1" a="1"/>
  <c r="R439" i="1" s="1"/>
  <c r="R438" i="1" a="1"/>
  <c r="R438" i="1" s="1"/>
  <c r="R437" i="1" a="1"/>
  <c r="R437" i="1" s="1"/>
  <c r="R436" i="1" a="1"/>
  <c r="R436" i="1" s="1"/>
  <c r="R435" i="1" a="1"/>
  <c r="R435" i="1" s="1"/>
  <c r="R434" i="1" a="1"/>
  <c r="R434" i="1" s="1"/>
  <c r="R433" i="1" a="1"/>
  <c r="R433" i="1" s="1"/>
  <c r="R432" i="1" a="1"/>
  <c r="R432" i="1" s="1"/>
  <c r="R431" i="1" a="1"/>
  <c r="R431" i="1" s="1"/>
  <c r="R430" i="1" a="1"/>
  <c r="R430" i="1" s="1"/>
  <c r="R429" i="1" a="1"/>
  <c r="R429" i="1" s="1"/>
  <c r="R428" i="1" a="1"/>
  <c r="R428" i="1" s="1"/>
  <c r="R427" i="1" a="1"/>
  <c r="R427" i="1" s="1"/>
  <c r="R426" i="1" a="1"/>
  <c r="R426" i="1" s="1"/>
  <c r="R425" i="1" a="1"/>
  <c r="R425" i="1" s="1"/>
  <c r="R424" i="1" a="1"/>
  <c r="R424" i="1" s="1"/>
  <c r="R423" i="1" a="1"/>
  <c r="R423" i="1" s="1"/>
  <c r="R422" i="1" a="1"/>
  <c r="R422" i="1" s="1"/>
  <c r="R421" i="1" a="1"/>
  <c r="R421" i="1" s="1"/>
  <c r="R420" i="1" a="1"/>
  <c r="R420" i="1" s="1"/>
  <c r="R419" i="1" a="1"/>
  <c r="R419" i="1" s="1"/>
  <c r="R418" i="1" a="1"/>
  <c r="R418" i="1" s="1"/>
  <c r="R417" i="1" a="1"/>
  <c r="R417" i="1" s="1"/>
  <c r="R416" i="1" a="1"/>
  <c r="R416" i="1" s="1"/>
  <c r="R415" i="1" a="1"/>
  <c r="R415" i="1" s="1"/>
  <c r="R414" i="1" a="1"/>
  <c r="R414" i="1" s="1"/>
  <c r="R413" i="1" a="1"/>
  <c r="R413" i="1" s="1"/>
  <c r="R412" i="1" a="1"/>
  <c r="R412" i="1" s="1"/>
  <c r="R411" i="1" a="1"/>
  <c r="R411" i="1" s="1"/>
  <c r="R410" i="1" a="1"/>
  <c r="R410" i="1" s="1"/>
  <c r="R409" i="1" a="1"/>
  <c r="R409" i="1" s="1"/>
  <c r="R408" i="1" a="1"/>
  <c r="R408" i="1" s="1"/>
  <c r="R407" i="1" a="1"/>
  <c r="R407" i="1" s="1"/>
  <c r="R406" i="1" a="1"/>
  <c r="R406" i="1" s="1"/>
  <c r="R405" i="1" a="1"/>
  <c r="R405" i="1" s="1"/>
  <c r="R404" i="1" a="1"/>
  <c r="R404" i="1" s="1"/>
  <c r="R403" i="1" a="1"/>
  <c r="R403" i="1" s="1"/>
  <c r="R402" i="1" a="1"/>
  <c r="R402" i="1" s="1"/>
  <c r="R401" i="1" a="1"/>
  <c r="R401" i="1" s="1"/>
  <c r="R400" i="1" a="1"/>
  <c r="R400" i="1" s="1"/>
  <c r="R399" i="1" a="1"/>
  <c r="R399" i="1" s="1"/>
  <c r="R398" i="1" a="1"/>
  <c r="R398" i="1" s="1"/>
  <c r="R397" i="1" a="1"/>
  <c r="R397" i="1" s="1"/>
  <c r="R396" i="1" a="1"/>
  <c r="R396" i="1" s="1"/>
  <c r="R395" i="1" a="1"/>
  <c r="R395" i="1" s="1"/>
  <c r="R394" i="1" a="1"/>
  <c r="R394" i="1" s="1"/>
  <c r="R393" i="1" a="1"/>
  <c r="R393" i="1" s="1"/>
  <c r="R392" i="1" a="1"/>
  <c r="R392" i="1" s="1"/>
  <c r="R391" i="1" a="1"/>
  <c r="R391" i="1" s="1"/>
  <c r="R390" i="1" a="1"/>
  <c r="R390" i="1" s="1"/>
  <c r="R389" i="1" a="1"/>
  <c r="R389" i="1" s="1"/>
  <c r="R388" i="1" a="1"/>
  <c r="R388" i="1" s="1"/>
  <c r="R387" i="1" a="1"/>
  <c r="R387" i="1" s="1"/>
  <c r="R386" i="1" a="1"/>
  <c r="R386" i="1" s="1"/>
  <c r="R385" i="1" a="1"/>
  <c r="R385" i="1" s="1"/>
  <c r="R384" i="1" a="1"/>
  <c r="R384" i="1" s="1"/>
  <c r="R383" i="1" a="1"/>
  <c r="R383" i="1" s="1"/>
  <c r="R382" i="1" a="1"/>
  <c r="R382" i="1" s="1"/>
  <c r="R381" i="1" a="1"/>
  <c r="R381" i="1" s="1"/>
  <c r="R380" i="1" a="1"/>
  <c r="R380" i="1" s="1"/>
  <c r="R379" i="1" a="1"/>
  <c r="R379" i="1" s="1"/>
  <c r="R378" i="1" a="1"/>
  <c r="R378" i="1" s="1"/>
  <c r="R377" i="1" a="1"/>
  <c r="R377" i="1" s="1"/>
  <c r="R376" i="1" a="1"/>
  <c r="R376" i="1" s="1"/>
  <c r="R375" i="1" a="1"/>
  <c r="R375" i="1" s="1"/>
  <c r="R374" i="1" a="1"/>
  <c r="R374" i="1" s="1"/>
  <c r="R373" i="1" a="1"/>
  <c r="R373" i="1" s="1"/>
  <c r="R372" i="1" a="1"/>
  <c r="R372" i="1" s="1"/>
  <c r="R371" i="1" a="1"/>
  <c r="R371" i="1" s="1"/>
  <c r="R370" i="1" a="1"/>
  <c r="R370" i="1" s="1"/>
  <c r="R369" i="1" a="1"/>
  <c r="R369" i="1" s="1"/>
  <c r="R368" i="1" a="1"/>
  <c r="R368" i="1" s="1"/>
  <c r="R367" i="1" a="1"/>
  <c r="R367" i="1" s="1"/>
  <c r="R366" i="1" a="1"/>
  <c r="R366" i="1" s="1"/>
  <c r="R365" i="1" a="1"/>
  <c r="R365" i="1" s="1"/>
  <c r="R364" i="1" a="1"/>
  <c r="R364" i="1" s="1"/>
  <c r="R363" i="1" a="1"/>
  <c r="R363" i="1" s="1"/>
  <c r="R362" i="1" a="1"/>
  <c r="R362" i="1" s="1"/>
  <c r="R361" i="1" a="1"/>
  <c r="R361" i="1" s="1"/>
  <c r="R360" i="1" a="1"/>
  <c r="R360" i="1" s="1"/>
  <c r="R359" i="1" a="1"/>
  <c r="R359" i="1" s="1"/>
  <c r="R358" i="1" a="1"/>
  <c r="R358" i="1" s="1"/>
  <c r="R357" i="1" a="1"/>
  <c r="R357" i="1" s="1"/>
  <c r="R356" i="1" a="1"/>
  <c r="R356" i="1" s="1"/>
  <c r="R355" i="1" a="1"/>
  <c r="R355" i="1" s="1"/>
  <c r="R354" i="1" a="1"/>
  <c r="R354" i="1" s="1"/>
  <c r="R353" i="1" a="1"/>
  <c r="R353" i="1" s="1"/>
  <c r="R352" i="1" a="1"/>
  <c r="R352" i="1" s="1"/>
  <c r="R351" i="1" a="1"/>
  <c r="R351" i="1" s="1"/>
  <c r="R350" i="1" a="1"/>
  <c r="R350" i="1" s="1"/>
  <c r="R349" i="1" a="1"/>
  <c r="R349" i="1" s="1"/>
  <c r="R348" i="1" a="1"/>
  <c r="R348" i="1" s="1"/>
  <c r="R347" i="1" a="1"/>
  <c r="R347" i="1" s="1"/>
  <c r="R346" i="1" a="1"/>
  <c r="R346" i="1" s="1"/>
  <c r="R345" i="1" a="1"/>
  <c r="R345" i="1" s="1"/>
  <c r="R344" i="1" a="1"/>
  <c r="R344" i="1" s="1"/>
  <c r="R343" i="1" a="1"/>
  <c r="R343" i="1" s="1"/>
  <c r="R342" i="1" a="1"/>
  <c r="R342" i="1" s="1"/>
  <c r="R341" i="1" a="1"/>
  <c r="R341" i="1" s="1"/>
  <c r="R340" i="1" a="1"/>
  <c r="R340" i="1" s="1"/>
  <c r="R339" i="1" a="1"/>
  <c r="R339" i="1" s="1"/>
  <c r="R338" i="1" a="1"/>
  <c r="R338" i="1" s="1"/>
  <c r="R337" i="1" a="1"/>
  <c r="R337" i="1" s="1"/>
  <c r="R336" i="1" a="1"/>
  <c r="R336" i="1" s="1"/>
  <c r="R335" i="1" a="1"/>
  <c r="R335" i="1" s="1"/>
  <c r="R334" i="1" a="1"/>
  <c r="R334" i="1" s="1"/>
  <c r="R333" i="1" a="1"/>
  <c r="R333" i="1" s="1"/>
  <c r="R332" i="1" a="1"/>
  <c r="R332" i="1" s="1"/>
  <c r="R331" i="1" a="1"/>
  <c r="R331" i="1" s="1"/>
  <c r="R330" i="1" a="1"/>
  <c r="R330" i="1" s="1"/>
  <c r="R329" i="1" a="1"/>
  <c r="R329" i="1" s="1"/>
  <c r="R328" i="1" a="1"/>
  <c r="R328" i="1" s="1"/>
  <c r="R327" i="1" a="1"/>
  <c r="R327" i="1" s="1"/>
  <c r="R326" i="1" a="1"/>
  <c r="R326" i="1" s="1"/>
  <c r="R325" i="1" a="1"/>
  <c r="R325" i="1" s="1"/>
  <c r="R324" i="1" a="1"/>
  <c r="R324" i="1" s="1"/>
  <c r="R323" i="1" a="1"/>
  <c r="R323" i="1" s="1"/>
  <c r="R322" i="1" a="1"/>
  <c r="R322" i="1" s="1"/>
  <c r="R321" i="1" a="1"/>
  <c r="R321" i="1" s="1"/>
  <c r="R320" i="1" a="1"/>
  <c r="R320" i="1" s="1"/>
  <c r="R319" i="1" a="1"/>
  <c r="R319" i="1" s="1"/>
  <c r="R318" i="1" a="1"/>
  <c r="R318" i="1" s="1"/>
  <c r="R317" i="1" a="1"/>
  <c r="R317" i="1" s="1"/>
  <c r="R316" i="1" a="1"/>
  <c r="R316" i="1" s="1"/>
  <c r="R315" i="1" a="1"/>
  <c r="R315" i="1" s="1"/>
  <c r="R314" i="1" a="1"/>
  <c r="R314" i="1" s="1"/>
  <c r="R313" i="1" a="1"/>
  <c r="R313" i="1" s="1"/>
  <c r="R312" i="1" a="1"/>
  <c r="R312" i="1" s="1"/>
  <c r="R311" i="1" a="1"/>
  <c r="R311" i="1" s="1"/>
  <c r="R310" i="1" a="1"/>
  <c r="R310" i="1" s="1"/>
  <c r="R309" i="1" a="1"/>
  <c r="R309" i="1" s="1"/>
  <c r="R308" i="1" a="1"/>
  <c r="R308" i="1" s="1"/>
  <c r="R307" i="1" a="1"/>
  <c r="R307" i="1" s="1"/>
  <c r="R306" i="1" a="1"/>
  <c r="R306" i="1" s="1"/>
  <c r="R305" i="1" a="1"/>
  <c r="R305" i="1" s="1"/>
  <c r="R304" i="1" a="1"/>
  <c r="R304" i="1" s="1"/>
  <c r="R303" i="1" a="1"/>
  <c r="R303" i="1" s="1"/>
  <c r="R302" i="1" a="1"/>
  <c r="R302" i="1" s="1"/>
  <c r="R301" i="1" a="1"/>
  <c r="R301" i="1" s="1"/>
  <c r="R300" i="1" a="1"/>
  <c r="R300" i="1" s="1"/>
  <c r="R299" i="1" a="1"/>
  <c r="R299" i="1" s="1"/>
  <c r="R298" i="1" a="1"/>
  <c r="R298" i="1" s="1"/>
  <c r="R297" i="1" a="1"/>
  <c r="R297" i="1" s="1"/>
  <c r="R296" i="1" a="1"/>
  <c r="R296" i="1" s="1"/>
  <c r="R295" i="1" a="1"/>
  <c r="R295" i="1" s="1"/>
  <c r="R294" i="1" a="1"/>
  <c r="R294" i="1" s="1"/>
  <c r="R293" i="1" a="1"/>
  <c r="R293" i="1" s="1"/>
  <c r="R292" i="1" a="1"/>
  <c r="R292" i="1" s="1"/>
  <c r="R291" i="1" a="1"/>
  <c r="R291" i="1" s="1"/>
  <c r="R290" i="1" a="1"/>
  <c r="R290" i="1" s="1"/>
  <c r="R289" i="1" a="1"/>
  <c r="R289" i="1" s="1"/>
  <c r="R288" i="1" a="1"/>
  <c r="R288" i="1" s="1"/>
  <c r="R287" i="1" a="1"/>
  <c r="R287" i="1" s="1"/>
  <c r="R286" i="1" a="1"/>
  <c r="R286" i="1" s="1"/>
  <c r="R285" i="1" a="1"/>
  <c r="R285" i="1" s="1"/>
  <c r="R284" i="1" a="1"/>
  <c r="R284" i="1" s="1"/>
  <c r="R283" i="1" a="1"/>
  <c r="R283" i="1" s="1"/>
  <c r="R282" i="1" a="1"/>
  <c r="R282" i="1" s="1"/>
  <c r="R281" i="1" a="1"/>
  <c r="R281" i="1" s="1"/>
  <c r="R280" i="1" a="1"/>
  <c r="R280" i="1" s="1"/>
  <c r="R279" i="1" a="1"/>
  <c r="R279" i="1" s="1"/>
  <c r="R278" i="1" a="1"/>
  <c r="R278" i="1" s="1"/>
  <c r="R277" i="1" a="1"/>
  <c r="R277" i="1" s="1"/>
  <c r="R276" i="1" a="1"/>
  <c r="R276" i="1" s="1"/>
  <c r="R275" i="1" a="1"/>
  <c r="R275" i="1" s="1"/>
  <c r="R274" i="1" a="1"/>
  <c r="R274" i="1" s="1"/>
  <c r="R273" i="1" a="1"/>
  <c r="R273" i="1" s="1"/>
  <c r="R272" i="1" a="1"/>
  <c r="R272" i="1" s="1"/>
  <c r="R271" i="1" a="1"/>
  <c r="R271" i="1" s="1"/>
  <c r="R270" i="1" a="1"/>
  <c r="R270" i="1" s="1"/>
  <c r="R269" i="1" a="1"/>
  <c r="R269" i="1" s="1"/>
  <c r="R268" i="1" a="1"/>
  <c r="R268" i="1" s="1"/>
  <c r="R267" i="1" a="1"/>
  <c r="R267" i="1" s="1"/>
  <c r="R266" i="1" a="1"/>
  <c r="R266" i="1" s="1"/>
  <c r="R265" i="1" a="1"/>
  <c r="R265" i="1" s="1"/>
  <c r="R264" i="1" a="1"/>
  <c r="R264" i="1" s="1"/>
  <c r="R263" i="1" a="1"/>
  <c r="R263" i="1" s="1"/>
  <c r="R262" i="1" a="1"/>
  <c r="R262" i="1" s="1"/>
  <c r="R261" i="1" a="1"/>
  <c r="R261" i="1" s="1"/>
  <c r="R260" i="1" a="1"/>
  <c r="R260" i="1" s="1"/>
  <c r="R259" i="1" a="1"/>
  <c r="R259" i="1" s="1"/>
  <c r="R258" i="1" a="1"/>
  <c r="R258" i="1" s="1"/>
  <c r="R257" i="1" a="1"/>
  <c r="R257" i="1" s="1"/>
  <c r="R256" i="1" a="1"/>
  <c r="R256" i="1" s="1"/>
  <c r="R255" i="1" a="1"/>
  <c r="R255" i="1" s="1"/>
  <c r="R254" i="1" a="1"/>
  <c r="R254" i="1" s="1"/>
  <c r="R253" i="1" a="1"/>
  <c r="R253" i="1" s="1"/>
  <c r="R252" i="1" a="1"/>
  <c r="R252" i="1" s="1"/>
  <c r="R251" i="1" a="1"/>
  <c r="R251" i="1" s="1"/>
  <c r="R250" i="1" a="1"/>
  <c r="R250" i="1" s="1"/>
  <c r="R249" i="1" a="1"/>
  <c r="R249" i="1" s="1"/>
  <c r="R248" i="1" a="1"/>
  <c r="R248" i="1" s="1"/>
  <c r="R247" i="1" a="1"/>
  <c r="R247" i="1" s="1"/>
  <c r="R246" i="1" a="1"/>
  <c r="R246" i="1" s="1"/>
  <c r="R245" i="1" a="1"/>
  <c r="R245" i="1" s="1"/>
  <c r="R244" i="1" a="1"/>
  <c r="R244" i="1" s="1"/>
  <c r="R243" i="1" a="1"/>
  <c r="R243" i="1" s="1"/>
  <c r="R242" i="1" a="1"/>
  <c r="R242" i="1" s="1"/>
  <c r="R241" i="1" a="1"/>
  <c r="R241" i="1" s="1"/>
  <c r="R240" i="1" a="1"/>
  <c r="R240" i="1" s="1"/>
  <c r="R239" i="1" a="1"/>
  <c r="R239" i="1" s="1"/>
  <c r="R238" i="1" a="1"/>
  <c r="R238" i="1" s="1"/>
  <c r="R237" i="1" a="1"/>
  <c r="R237" i="1" s="1"/>
  <c r="R236" i="1" a="1"/>
  <c r="R236" i="1" s="1"/>
  <c r="R235" i="1" a="1"/>
  <c r="R235" i="1" s="1"/>
  <c r="R234" i="1" a="1"/>
  <c r="R234" i="1" s="1"/>
  <c r="R233" i="1" a="1"/>
  <c r="R233" i="1" s="1"/>
  <c r="R232" i="1" a="1"/>
  <c r="R232" i="1" s="1"/>
  <c r="R231" i="1" a="1"/>
  <c r="R231" i="1" s="1"/>
  <c r="R230" i="1" a="1"/>
  <c r="R230" i="1" s="1"/>
  <c r="R229" i="1" a="1"/>
  <c r="R229" i="1" s="1"/>
  <c r="R228" i="1" a="1"/>
  <c r="R228" i="1" s="1"/>
  <c r="R227" i="1" a="1"/>
  <c r="R227" i="1" s="1"/>
  <c r="R226" i="1" a="1"/>
  <c r="R226" i="1" s="1"/>
  <c r="R225" i="1" a="1"/>
  <c r="R225" i="1" s="1"/>
  <c r="R224" i="1" a="1"/>
  <c r="R224" i="1" s="1"/>
  <c r="R223" i="1" a="1"/>
  <c r="R223" i="1" s="1"/>
  <c r="R222" i="1" a="1"/>
  <c r="R222" i="1" s="1"/>
  <c r="R221" i="1" a="1"/>
  <c r="R221" i="1" s="1"/>
  <c r="R220" i="1" a="1"/>
  <c r="R220" i="1" s="1"/>
  <c r="R219" i="1" a="1"/>
  <c r="R219" i="1" s="1"/>
  <c r="R218" i="1" a="1"/>
  <c r="R218" i="1" s="1"/>
  <c r="R217" i="1" a="1"/>
  <c r="R217" i="1" s="1"/>
  <c r="R216" i="1" a="1"/>
  <c r="R216" i="1" s="1"/>
  <c r="R215" i="1" a="1"/>
  <c r="R215" i="1" s="1"/>
  <c r="R214" i="1" a="1"/>
  <c r="R214" i="1" s="1"/>
  <c r="R213" i="1" a="1"/>
  <c r="R213" i="1" s="1"/>
  <c r="R212" i="1" a="1"/>
  <c r="R212" i="1" s="1"/>
  <c r="R211" i="1" a="1"/>
  <c r="R211" i="1" s="1"/>
  <c r="R210" i="1" a="1"/>
  <c r="R210" i="1" s="1"/>
  <c r="R209" i="1" a="1"/>
  <c r="R209" i="1" s="1"/>
  <c r="R208" i="1" a="1"/>
  <c r="R208" i="1" s="1"/>
  <c r="R207" i="1" a="1"/>
  <c r="R207" i="1" s="1"/>
  <c r="R206" i="1" a="1"/>
  <c r="R206" i="1" s="1"/>
  <c r="R205" i="1" a="1"/>
  <c r="R205" i="1" s="1"/>
  <c r="R204" i="1" a="1"/>
  <c r="R204" i="1" s="1"/>
  <c r="R203" i="1" a="1"/>
  <c r="R203" i="1" s="1"/>
  <c r="R202" i="1" a="1"/>
  <c r="R202" i="1" s="1"/>
  <c r="R201" i="1" a="1"/>
  <c r="R201" i="1" s="1"/>
  <c r="R200" i="1" a="1"/>
  <c r="R200" i="1" s="1"/>
  <c r="R199" i="1" a="1"/>
  <c r="R199" i="1" s="1"/>
  <c r="R198" i="1" a="1"/>
  <c r="R198" i="1" s="1"/>
  <c r="R197" i="1" a="1"/>
  <c r="R197" i="1" s="1"/>
  <c r="R196" i="1" a="1"/>
  <c r="R196" i="1" s="1"/>
  <c r="R195" i="1" a="1"/>
  <c r="R195" i="1" s="1"/>
  <c r="R194" i="1" a="1"/>
  <c r="R194" i="1" s="1"/>
  <c r="R193" i="1" a="1"/>
  <c r="R193" i="1" s="1"/>
  <c r="R192" i="1" a="1"/>
  <c r="R192" i="1" s="1"/>
  <c r="R191" i="1" a="1"/>
  <c r="R191" i="1" s="1"/>
  <c r="R190" i="1" a="1"/>
  <c r="R190" i="1" s="1"/>
  <c r="R189" i="1" a="1"/>
  <c r="R189" i="1" s="1"/>
  <c r="R188" i="1" a="1"/>
  <c r="R188" i="1" s="1"/>
  <c r="R187" i="1" a="1"/>
  <c r="R187" i="1" s="1"/>
  <c r="R186" i="1" a="1"/>
  <c r="R186" i="1" s="1"/>
  <c r="R185" i="1" a="1"/>
  <c r="R185" i="1" s="1"/>
  <c r="R184" i="1" a="1"/>
  <c r="R184" i="1" s="1"/>
  <c r="R183" i="1" a="1"/>
  <c r="R183" i="1" s="1"/>
  <c r="R182" i="1" a="1"/>
  <c r="R182" i="1" s="1"/>
  <c r="R181" i="1" a="1"/>
  <c r="R181" i="1" s="1"/>
  <c r="R180" i="1" a="1"/>
  <c r="R180" i="1" s="1"/>
  <c r="R179" i="1" a="1"/>
  <c r="R179" i="1" s="1"/>
  <c r="R178" i="1" a="1"/>
  <c r="R178" i="1" s="1"/>
  <c r="R177" i="1" a="1"/>
  <c r="R177" i="1" s="1"/>
  <c r="R176" i="1" a="1"/>
  <c r="R176" i="1" s="1"/>
  <c r="R175" i="1" a="1"/>
  <c r="R175" i="1" s="1"/>
  <c r="R174" i="1" a="1"/>
  <c r="R174" i="1" s="1"/>
  <c r="R173" i="1" a="1"/>
  <c r="R173" i="1" s="1"/>
  <c r="R172" i="1" a="1"/>
  <c r="R172" i="1" s="1"/>
  <c r="R171" i="1" a="1"/>
  <c r="R171" i="1" s="1"/>
  <c r="R170" i="1" a="1"/>
  <c r="R170" i="1" s="1"/>
  <c r="R169" i="1" a="1"/>
  <c r="R169" i="1" s="1"/>
  <c r="R168" i="1" a="1"/>
  <c r="R168" i="1" s="1"/>
  <c r="R167" i="1" a="1"/>
  <c r="R167" i="1" s="1"/>
  <c r="R166" i="1" a="1"/>
  <c r="R166" i="1" s="1"/>
  <c r="R165" i="1" a="1"/>
  <c r="R165" i="1" s="1"/>
  <c r="R164" i="1" a="1"/>
  <c r="R164" i="1" s="1"/>
  <c r="R163" i="1" a="1"/>
  <c r="R163" i="1" s="1"/>
  <c r="R162" i="1" a="1"/>
  <c r="R162" i="1" s="1"/>
  <c r="R161" i="1" a="1"/>
  <c r="R161" i="1" s="1"/>
  <c r="R160" i="1" a="1"/>
  <c r="R160" i="1" s="1"/>
  <c r="R159" i="1" a="1"/>
  <c r="R159" i="1" s="1"/>
  <c r="R158" i="1" a="1"/>
  <c r="R158" i="1" s="1"/>
  <c r="R157" i="1" a="1"/>
  <c r="R157" i="1" s="1"/>
  <c r="R156" i="1" a="1"/>
  <c r="R156" i="1" s="1"/>
  <c r="R155" i="1" a="1"/>
  <c r="R155" i="1" s="1"/>
  <c r="R154" i="1" a="1"/>
  <c r="R154" i="1" s="1"/>
  <c r="R153" i="1" a="1"/>
  <c r="R153" i="1" s="1"/>
  <c r="R152" i="1" a="1"/>
  <c r="R152" i="1" s="1"/>
  <c r="R151" i="1" a="1"/>
  <c r="R151" i="1" s="1"/>
  <c r="R150" i="1" a="1"/>
  <c r="R150" i="1" s="1"/>
  <c r="R149" i="1" a="1"/>
  <c r="R149" i="1" s="1"/>
  <c r="R148" i="1" a="1"/>
  <c r="R148" i="1" s="1"/>
  <c r="R147" i="1" a="1"/>
  <c r="R147" i="1" s="1"/>
  <c r="R146" i="1" a="1"/>
  <c r="R146" i="1" s="1"/>
  <c r="R145" i="1" a="1"/>
  <c r="R145" i="1" s="1"/>
  <c r="R144" i="1" a="1"/>
  <c r="R144" i="1" s="1"/>
  <c r="R143" i="1" a="1"/>
  <c r="R143" i="1" s="1"/>
  <c r="R142" i="1" a="1"/>
  <c r="R142" i="1" s="1"/>
  <c r="R141" i="1" a="1"/>
  <c r="R141" i="1" s="1"/>
  <c r="R140" i="1" a="1"/>
  <c r="R140" i="1" s="1"/>
  <c r="R139" i="1" a="1"/>
  <c r="R139" i="1" s="1"/>
  <c r="R138" i="1" a="1"/>
  <c r="R138" i="1" s="1"/>
  <c r="R137" i="1" a="1"/>
  <c r="R137" i="1" s="1"/>
  <c r="R136" i="1" a="1"/>
  <c r="R136" i="1" s="1"/>
  <c r="R135" i="1" a="1"/>
  <c r="R135" i="1" s="1"/>
  <c r="R134" i="1" a="1"/>
  <c r="R134" i="1" s="1"/>
  <c r="R133" i="1" a="1"/>
  <c r="R133" i="1" s="1"/>
  <c r="R132" i="1" a="1"/>
  <c r="R132" i="1" s="1"/>
  <c r="R131" i="1" a="1"/>
  <c r="R131" i="1" s="1"/>
  <c r="R130" i="1" a="1"/>
  <c r="R130" i="1" s="1"/>
  <c r="R129" i="1" a="1"/>
  <c r="R129" i="1" s="1"/>
  <c r="R128" i="1" a="1"/>
  <c r="R128" i="1" s="1"/>
  <c r="R127" i="1" a="1"/>
  <c r="R127" i="1" s="1"/>
  <c r="R126" i="1" a="1"/>
  <c r="R126" i="1" s="1"/>
  <c r="R125" i="1" a="1"/>
  <c r="R125" i="1" s="1"/>
  <c r="R124" i="1" a="1"/>
  <c r="R124" i="1" s="1"/>
  <c r="R123" i="1" a="1"/>
  <c r="R123" i="1" s="1"/>
  <c r="R122" i="1" a="1"/>
  <c r="R122" i="1" s="1"/>
  <c r="R121" i="1" a="1"/>
  <c r="R121" i="1" s="1"/>
  <c r="R120" i="1" a="1"/>
  <c r="R120" i="1" s="1"/>
  <c r="R119" i="1" a="1"/>
  <c r="R119" i="1" s="1"/>
  <c r="R118" i="1" a="1"/>
  <c r="R118" i="1" s="1"/>
  <c r="R117" i="1" a="1"/>
  <c r="R117" i="1" s="1"/>
  <c r="R116" i="1" a="1"/>
  <c r="R116" i="1" s="1"/>
  <c r="R115" i="1" a="1"/>
  <c r="R115" i="1" s="1"/>
  <c r="R114" i="1" a="1"/>
  <c r="R114" i="1" s="1"/>
  <c r="R113" i="1" a="1"/>
  <c r="R113" i="1" s="1"/>
  <c r="R112" i="1" a="1"/>
  <c r="R112" i="1" s="1"/>
  <c r="R111" i="1" a="1"/>
  <c r="R111" i="1" s="1"/>
  <c r="R110" i="1" a="1"/>
  <c r="R110" i="1" s="1"/>
  <c r="R109" i="1" a="1"/>
  <c r="R109" i="1" s="1"/>
  <c r="R108" i="1" a="1"/>
  <c r="R108" i="1" s="1"/>
  <c r="R107" i="1" a="1"/>
  <c r="R107" i="1" s="1"/>
  <c r="R106" i="1" a="1"/>
  <c r="R106" i="1" s="1"/>
  <c r="R105" i="1" a="1"/>
  <c r="R105" i="1" s="1"/>
  <c r="R104" i="1" a="1"/>
  <c r="R104" i="1" s="1"/>
  <c r="R103" i="1" a="1"/>
  <c r="R103" i="1" s="1"/>
  <c r="R102" i="1" a="1"/>
  <c r="R102" i="1" s="1"/>
  <c r="R101" i="1" a="1"/>
  <c r="R101" i="1" s="1"/>
  <c r="R100" i="1" a="1"/>
  <c r="R100" i="1" s="1"/>
  <c r="R99" i="1" a="1"/>
  <c r="R99" i="1" s="1"/>
  <c r="R98" i="1" a="1"/>
  <c r="R98" i="1" s="1"/>
  <c r="R97" i="1" a="1"/>
  <c r="R97" i="1" s="1"/>
  <c r="R96" i="1" a="1"/>
  <c r="R96" i="1" s="1"/>
  <c r="R95" i="1" a="1"/>
  <c r="R95" i="1" s="1"/>
  <c r="R94" i="1" a="1"/>
  <c r="R94" i="1" s="1"/>
  <c r="R93" i="1" a="1"/>
  <c r="R93" i="1" s="1"/>
  <c r="R92" i="1" a="1"/>
  <c r="R92" i="1" s="1"/>
  <c r="R91" i="1" a="1"/>
  <c r="R91" i="1" s="1"/>
  <c r="R90" i="1" a="1"/>
  <c r="R90" i="1" s="1"/>
  <c r="R89" i="1" a="1"/>
  <c r="R89" i="1" s="1"/>
  <c r="R88" i="1" a="1"/>
  <c r="R88" i="1" s="1"/>
  <c r="R87" i="1" a="1"/>
  <c r="R87" i="1" s="1"/>
  <c r="R86" i="1" a="1"/>
  <c r="R86" i="1" s="1"/>
  <c r="R85" i="1" a="1"/>
  <c r="R85" i="1" s="1"/>
  <c r="R84" i="1" a="1"/>
  <c r="R84" i="1" s="1"/>
  <c r="R83" i="1" a="1"/>
  <c r="R83" i="1" s="1"/>
  <c r="R82" i="1" a="1"/>
  <c r="R82" i="1" s="1"/>
  <c r="R81" i="1" a="1"/>
  <c r="R81" i="1" s="1"/>
  <c r="R80" i="1" a="1"/>
  <c r="R80" i="1" s="1"/>
  <c r="R79" i="1" a="1"/>
  <c r="R79" i="1" s="1"/>
  <c r="R78" i="1" a="1"/>
  <c r="R78" i="1" s="1"/>
  <c r="R77" i="1" a="1"/>
  <c r="R77" i="1" s="1"/>
  <c r="R76" i="1" a="1"/>
  <c r="R76" i="1" s="1"/>
  <c r="R75" i="1" a="1"/>
  <c r="R75" i="1" s="1"/>
  <c r="R74" i="1" a="1"/>
  <c r="R74" i="1" s="1"/>
  <c r="R73" i="1" a="1"/>
  <c r="R73" i="1" s="1"/>
  <c r="R72" i="1" a="1"/>
  <c r="R72" i="1" s="1"/>
  <c r="R71" i="1" a="1"/>
  <c r="R71" i="1" s="1"/>
  <c r="R70" i="1" a="1"/>
  <c r="R70" i="1" s="1"/>
  <c r="R69" i="1" a="1"/>
  <c r="R69" i="1" s="1"/>
  <c r="R68" i="1" a="1"/>
  <c r="R68" i="1" s="1"/>
  <c r="R67" i="1" a="1"/>
  <c r="R67" i="1" s="1"/>
  <c r="R66" i="1" a="1"/>
  <c r="R66" i="1" s="1"/>
  <c r="R65" i="1" a="1"/>
  <c r="R65" i="1" s="1"/>
  <c r="R64" i="1" a="1"/>
  <c r="R64" i="1" s="1"/>
  <c r="R63" i="1" a="1"/>
  <c r="R63" i="1" s="1"/>
  <c r="R62" i="1" a="1"/>
  <c r="R62" i="1" s="1"/>
  <c r="R61" i="1" a="1"/>
  <c r="R61" i="1" s="1"/>
  <c r="R60" i="1" a="1"/>
  <c r="R60" i="1" s="1"/>
  <c r="R59" i="1" a="1"/>
  <c r="R59" i="1" s="1"/>
  <c r="R58" i="1" a="1"/>
  <c r="R58" i="1" s="1"/>
  <c r="R57" i="1" a="1"/>
  <c r="R57" i="1" s="1"/>
  <c r="R56" i="1" a="1"/>
  <c r="R56" i="1" s="1"/>
  <c r="R55" i="1" a="1"/>
  <c r="R55" i="1" s="1"/>
  <c r="R54" i="1" a="1"/>
  <c r="R54" i="1" s="1"/>
  <c r="R53" i="1" a="1"/>
  <c r="R53" i="1" s="1"/>
  <c r="R52" i="1" a="1"/>
  <c r="R52" i="1" s="1"/>
  <c r="R51" i="1" a="1"/>
  <c r="R51" i="1" s="1"/>
  <c r="R50" i="1" a="1"/>
  <c r="R50" i="1" s="1"/>
  <c r="R49" i="1" a="1"/>
  <c r="R49" i="1" s="1"/>
  <c r="R48" i="1" a="1"/>
  <c r="R48" i="1" s="1"/>
  <c r="R47" i="1" a="1"/>
  <c r="R47" i="1" s="1"/>
  <c r="R46" i="1" a="1"/>
  <c r="R46" i="1" s="1"/>
  <c r="R45" i="1" a="1"/>
  <c r="R45" i="1" s="1"/>
  <c r="R44" i="1" a="1"/>
  <c r="R44" i="1" s="1"/>
  <c r="R43" i="1" a="1"/>
  <c r="R43" i="1" s="1"/>
  <c r="R42" i="1" a="1"/>
  <c r="R42" i="1" s="1"/>
  <c r="R41" i="1" a="1"/>
  <c r="R41" i="1" s="1"/>
  <c r="R40" i="1" a="1"/>
  <c r="R40" i="1" s="1"/>
  <c r="R39" i="1" a="1"/>
  <c r="R39" i="1" s="1"/>
  <c r="R38" i="1" a="1"/>
  <c r="R38" i="1" s="1"/>
  <c r="R37" i="1" a="1"/>
  <c r="R37" i="1" s="1"/>
  <c r="R36" i="1" a="1"/>
  <c r="R36" i="1" s="1"/>
  <c r="R35" i="1" a="1"/>
  <c r="R35" i="1" s="1"/>
  <c r="R34" i="1" a="1"/>
  <c r="R34" i="1" s="1"/>
  <c r="R33" i="1" a="1"/>
  <c r="R33" i="1" s="1"/>
  <c r="R32" i="1" a="1"/>
  <c r="R32" i="1" s="1"/>
  <c r="R31" i="1" a="1"/>
  <c r="R31" i="1" s="1"/>
  <c r="R30" i="1" a="1"/>
  <c r="R30" i="1" s="1"/>
  <c r="R29" i="1" a="1"/>
  <c r="R29" i="1" s="1"/>
  <c r="R28" i="1" a="1"/>
  <c r="R28" i="1" s="1"/>
  <c r="R27" i="1" a="1"/>
  <c r="R27" i="1" s="1"/>
  <c r="R26" i="1" a="1"/>
  <c r="R26" i="1" s="1"/>
  <c r="R25" i="1" a="1"/>
  <c r="R25" i="1" s="1"/>
  <c r="R24" i="1" a="1"/>
  <c r="R24" i="1" s="1"/>
  <c r="R23" i="1" a="1"/>
  <c r="R23" i="1" s="1"/>
  <c r="R22" i="1" a="1"/>
  <c r="R22" i="1" s="1"/>
  <c r="R21" i="1" a="1"/>
  <c r="R21" i="1" s="1"/>
  <c r="R20" i="1" a="1"/>
  <c r="R20" i="1" s="1"/>
  <c r="R19" i="1" a="1"/>
  <c r="R19" i="1" s="1"/>
  <c r="R18" i="1" a="1"/>
  <c r="R18" i="1" s="1"/>
  <c r="R17" i="1" a="1"/>
  <c r="R17" i="1" s="1"/>
  <c r="R16" i="1" a="1"/>
  <c r="R16" i="1" s="1"/>
  <c r="R15" i="1" a="1"/>
  <c r="R15" i="1" s="1"/>
  <c r="R14" i="1" a="1"/>
  <c r="R14" i="1" s="1"/>
  <c r="R13" i="1" a="1"/>
  <c r="R13" i="1" s="1"/>
  <c r="R12" i="1" a="1"/>
  <c r="R12" i="1" s="1"/>
  <c r="R11" i="1" a="1"/>
  <c r="R11" i="1" s="1"/>
  <c r="R10" i="1" a="1"/>
  <c r="R10" i="1" s="1"/>
  <c r="R9" i="1" a="1"/>
  <c r="R9" i="1" s="1"/>
  <c r="R8" i="1" a="1"/>
  <c r="R8" i="1" s="1"/>
  <c r="R7" i="1" a="1"/>
  <c r="R7" i="1" s="1"/>
  <c r="R6" i="1" a="1"/>
  <c r="R6" i="1" s="1"/>
  <c r="R5" i="1" a="1"/>
  <c r="R5" i="1" s="1"/>
  <c r="R4" i="1" a="1"/>
  <c r="R4" i="1" s="1"/>
  <c r="R3" i="1" a="1"/>
  <c r="R3" i="1" s="1"/>
  <c r="AB11" i="1"/>
  <c r="AB10" i="1"/>
  <c r="B15" i="2"/>
  <c r="B13" i="2"/>
  <c r="D2" i="2"/>
  <c r="C15" i="2"/>
  <c r="C13" i="2"/>
  <c r="W16" i="1"/>
  <c r="X17" i="1"/>
  <c r="X16" i="1"/>
  <c r="X18" i="1"/>
  <c r="X19" i="1"/>
  <c r="U19" i="1"/>
  <c r="U17" i="1"/>
  <c r="U16" i="1"/>
  <c r="U18" i="1"/>
  <c r="Q2" i="1"/>
  <c r="P2" i="1"/>
  <c r="Q1001" i="1"/>
  <c r="P1001" i="1"/>
  <c r="Q1000" i="1"/>
  <c r="P1000" i="1"/>
  <c r="Q999" i="1"/>
  <c r="P999" i="1"/>
  <c r="Q998" i="1"/>
  <c r="P998" i="1"/>
  <c r="Q997" i="1"/>
  <c r="P997" i="1"/>
  <c r="Q996" i="1"/>
  <c r="P996" i="1"/>
  <c r="Q995" i="1"/>
  <c r="P995" i="1"/>
  <c r="Q994" i="1"/>
  <c r="P994" i="1"/>
  <c r="Q993" i="1"/>
  <c r="P993" i="1"/>
  <c r="Q992" i="1"/>
  <c r="P992" i="1"/>
  <c r="Q991" i="1"/>
  <c r="P991" i="1"/>
  <c r="Q990" i="1"/>
  <c r="P990" i="1"/>
  <c r="Q989" i="1"/>
  <c r="P989" i="1"/>
  <c r="Q988" i="1"/>
  <c r="P988" i="1"/>
  <c r="Q987" i="1"/>
  <c r="P987" i="1"/>
  <c r="Q986" i="1"/>
  <c r="P986" i="1"/>
  <c r="Q985" i="1"/>
  <c r="P985" i="1"/>
  <c r="Q984" i="1"/>
  <c r="P984" i="1"/>
  <c r="Q983" i="1"/>
  <c r="P983" i="1"/>
  <c r="Q982" i="1"/>
  <c r="P982" i="1"/>
  <c r="Q981" i="1"/>
  <c r="P981" i="1"/>
  <c r="Q980" i="1"/>
  <c r="P980" i="1"/>
  <c r="Q979" i="1"/>
  <c r="P979" i="1"/>
  <c r="Q978" i="1"/>
  <c r="P978" i="1"/>
  <c r="Q977" i="1"/>
  <c r="P977" i="1"/>
  <c r="Q976" i="1"/>
  <c r="P976" i="1"/>
  <c r="Q975" i="1"/>
  <c r="P975" i="1"/>
  <c r="Q974" i="1"/>
  <c r="P974" i="1"/>
  <c r="Q973" i="1"/>
  <c r="P973" i="1"/>
  <c r="Q972" i="1"/>
  <c r="P972" i="1"/>
  <c r="Q971" i="1"/>
  <c r="P971" i="1"/>
  <c r="Q970" i="1"/>
  <c r="P970" i="1"/>
  <c r="Q969" i="1"/>
  <c r="P969" i="1"/>
  <c r="Q968" i="1"/>
  <c r="P968" i="1"/>
  <c r="Q967" i="1"/>
  <c r="P967" i="1"/>
  <c r="Q966" i="1"/>
  <c r="P966" i="1"/>
  <c r="Q965" i="1"/>
  <c r="P965" i="1"/>
  <c r="Q964" i="1"/>
  <c r="P964" i="1"/>
  <c r="Q963" i="1"/>
  <c r="P963" i="1"/>
  <c r="Q962" i="1"/>
  <c r="P962" i="1"/>
  <c r="Q961" i="1"/>
  <c r="P961" i="1"/>
  <c r="Q960" i="1"/>
  <c r="P960" i="1"/>
  <c r="Q959" i="1"/>
  <c r="P959" i="1"/>
  <c r="Q958" i="1"/>
  <c r="P958" i="1"/>
  <c r="Q957" i="1"/>
  <c r="P957" i="1"/>
  <c r="Q956" i="1"/>
  <c r="P956" i="1"/>
  <c r="Q955" i="1"/>
  <c r="P955" i="1"/>
  <c r="Q954" i="1"/>
  <c r="P954" i="1"/>
  <c r="Q953" i="1"/>
  <c r="P953" i="1"/>
  <c r="Q952" i="1"/>
  <c r="P952" i="1"/>
  <c r="Q951" i="1"/>
  <c r="P951" i="1"/>
  <c r="Q950" i="1"/>
  <c r="P950" i="1"/>
  <c r="Q949" i="1"/>
  <c r="P949" i="1"/>
  <c r="Q948" i="1"/>
  <c r="P948" i="1"/>
  <c r="Q947" i="1"/>
  <c r="P947" i="1"/>
  <c r="Q946" i="1"/>
  <c r="P946" i="1"/>
  <c r="Q945" i="1"/>
  <c r="P945" i="1"/>
  <c r="Q944" i="1"/>
  <c r="P944" i="1"/>
  <c r="Q943" i="1"/>
  <c r="P943" i="1"/>
  <c r="Q942" i="1"/>
  <c r="P942" i="1"/>
  <c r="Q941" i="1"/>
  <c r="P941" i="1"/>
  <c r="Q940" i="1"/>
  <c r="P940" i="1"/>
  <c r="Q939" i="1"/>
  <c r="P939" i="1"/>
  <c r="Q938" i="1"/>
  <c r="P938" i="1"/>
  <c r="Q937" i="1"/>
  <c r="P937" i="1"/>
  <c r="Q936" i="1"/>
  <c r="P936" i="1"/>
  <c r="Q935" i="1"/>
  <c r="P935" i="1"/>
  <c r="Q934" i="1"/>
  <c r="P934" i="1"/>
  <c r="Q933" i="1"/>
  <c r="P933" i="1"/>
  <c r="Q932" i="1"/>
  <c r="P932" i="1"/>
  <c r="Q931" i="1"/>
  <c r="P931" i="1"/>
  <c r="Q930" i="1"/>
  <c r="P930" i="1"/>
  <c r="Q929" i="1"/>
  <c r="P929" i="1"/>
  <c r="Q928" i="1"/>
  <c r="P928" i="1"/>
  <c r="Q927" i="1"/>
  <c r="P927" i="1"/>
  <c r="Q926" i="1"/>
  <c r="P926" i="1"/>
  <c r="Q925" i="1"/>
  <c r="P925" i="1"/>
  <c r="Q924" i="1"/>
  <c r="P924" i="1"/>
  <c r="Q923" i="1"/>
  <c r="P923" i="1"/>
  <c r="Q922" i="1"/>
  <c r="P922" i="1"/>
  <c r="Q921" i="1"/>
  <c r="P921" i="1"/>
  <c r="Q920" i="1"/>
  <c r="P920" i="1"/>
  <c r="Q919" i="1"/>
  <c r="P919" i="1"/>
  <c r="Q918" i="1"/>
  <c r="P918" i="1"/>
  <c r="Q917" i="1"/>
  <c r="P917" i="1"/>
  <c r="Q916" i="1"/>
  <c r="P916" i="1"/>
  <c r="Q915" i="1"/>
  <c r="P915" i="1"/>
  <c r="Q914" i="1"/>
  <c r="P914" i="1"/>
  <c r="Q913" i="1"/>
  <c r="P913" i="1"/>
  <c r="Q912" i="1"/>
  <c r="P912" i="1"/>
  <c r="Q911" i="1"/>
  <c r="P911" i="1"/>
  <c r="Q910" i="1"/>
  <c r="P910" i="1"/>
  <c r="Q909" i="1"/>
  <c r="P909" i="1"/>
  <c r="Q908" i="1"/>
  <c r="P908" i="1"/>
  <c r="Q907" i="1"/>
  <c r="P907" i="1"/>
  <c r="Q906" i="1"/>
  <c r="P906" i="1"/>
  <c r="Q905" i="1"/>
  <c r="P905" i="1"/>
  <c r="Q904" i="1"/>
  <c r="P904" i="1"/>
  <c r="Q903" i="1"/>
  <c r="P903" i="1"/>
  <c r="Q902" i="1"/>
  <c r="P902" i="1"/>
  <c r="Q901" i="1"/>
  <c r="P901" i="1"/>
  <c r="Q900" i="1"/>
  <c r="P900" i="1"/>
  <c r="Q899" i="1"/>
  <c r="P899" i="1"/>
  <c r="Q898" i="1"/>
  <c r="P898" i="1"/>
  <c r="Q897" i="1"/>
  <c r="P897" i="1"/>
  <c r="Q896" i="1"/>
  <c r="P896" i="1"/>
  <c r="Q895" i="1"/>
  <c r="P895" i="1"/>
  <c r="Q894" i="1"/>
  <c r="P894" i="1"/>
  <c r="Q893" i="1"/>
  <c r="P893" i="1"/>
  <c r="Q892" i="1"/>
  <c r="P892" i="1"/>
  <c r="Q891" i="1"/>
  <c r="P891" i="1"/>
  <c r="Q890" i="1"/>
  <c r="P890" i="1"/>
  <c r="Q889" i="1"/>
  <c r="P889" i="1"/>
  <c r="Q888" i="1"/>
  <c r="P888" i="1"/>
  <c r="Q887" i="1"/>
  <c r="P887" i="1"/>
  <c r="Q886" i="1"/>
  <c r="P886" i="1"/>
  <c r="Q885" i="1"/>
  <c r="P885" i="1"/>
  <c r="Q884" i="1"/>
  <c r="P884" i="1"/>
  <c r="Q883" i="1"/>
  <c r="P883" i="1"/>
  <c r="Q882" i="1"/>
  <c r="P882" i="1"/>
  <c r="Q881" i="1"/>
  <c r="P881" i="1"/>
  <c r="Q880" i="1"/>
  <c r="P880" i="1"/>
  <c r="Q879" i="1"/>
  <c r="P879" i="1"/>
  <c r="Q878" i="1"/>
  <c r="P878" i="1"/>
  <c r="Q877" i="1"/>
  <c r="P877" i="1"/>
  <c r="Q876" i="1"/>
  <c r="P876" i="1"/>
  <c r="Q875" i="1"/>
  <c r="P875" i="1"/>
  <c r="Q874" i="1"/>
  <c r="P874" i="1"/>
  <c r="Q873" i="1"/>
  <c r="P873" i="1"/>
  <c r="Q872" i="1"/>
  <c r="P872" i="1"/>
  <c r="Q871" i="1"/>
  <c r="P871" i="1"/>
  <c r="Q870" i="1"/>
  <c r="P870" i="1"/>
  <c r="Q869" i="1"/>
  <c r="P869" i="1"/>
  <c r="Q868" i="1"/>
  <c r="P868" i="1"/>
  <c r="Q867" i="1"/>
  <c r="P867" i="1"/>
  <c r="Q866" i="1"/>
  <c r="P866" i="1"/>
  <c r="Q865" i="1"/>
  <c r="P865" i="1"/>
  <c r="Q864" i="1"/>
  <c r="P864" i="1"/>
  <c r="Q863" i="1"/>
  <c r="P863" i="1"/>
  <c r="Q862" i="1"/>
  <c r="P862" i="1"/>
  <c r="Q861" i="1"/>
  <c r="P861" i="1"/>
  <c r="Q860" i="1"/>
  <c r="P860" i="1"/>
  <c r="Q859" i="1"/>
  <c r="P859" i="1"/>
  <c r="Q858" i="1"/>
  <c r="P858" i="1"/>
  <c r="Q857" i="1"/>
  <c r="P857" i="1"/>
  <c r="Q856" i="1"/>
  <c r="P856" i="1"/>
  <c r="Q855" i="1"/>
  <c r="P855" i="1"/>
  <c r="Q854" i="1"/>
  <c r="P854" i="1"/>
  <c r="Q853" i="1"/>
  <c r="P853" i="1"/>
  <c r="Q852" i="1"/>
  <c r="P852" i="1"/>
  <c r="Q851" i="1"/>
  <c r="P851" i="1"/>
  <c r="Q850" i="1"/>
  <c r="P850" i="1"/>
  <c r="Q849" i="1"/>
  <c r="P849" i="1"/>
  <c r="Q848" i="1"/>
  <c r="P848" i="1"/>
  <c r="Q847" i="1"/>
  <c r="P847" i="1"/>
  <c r="Q846" i="1"/>
  <c r="P846" i="1"/>
  <c r="Q845" i="1"/>
  <c r="P845" i="1"/>
  <c r="Q844" i="1"/>
  <c r="P844" i="1"/>
  <c r="Q843" i="1"/>
  <c r="P843" i="1"/>
  <c r="Q842" i="1"/>
  <c r="P842" i="1"/>
  <c r="Q841" i="1"/>
  <c r="P841" i="1"/>
  <c r="Q840" i="1"/>
  <c r="P840" i="1"/>
  <c r="Q839" i="1"/>
  <c r="P839" i="1"/>
  <c r="Q838" i="1"/>
  <c r="P838" i="1"/>
  <c r="Q837" i="1"/>
  <c r="P837" i="1"/>
  <c r="Q836" i="1"/>
  <c r="P836" i="1"/>
  <c r="Q835" i="1"/>
  <c r="P835" i="1"/>
  <c r="Q834" i="1"/>
  <c r="P834" i="1"/>
  <c r="Q833" i="1"/>
  <c r="P833" i="1"/>
  <c r="Q832" i="1"/>
  <c r="P832" i="1"/>
  <c r="Q831" i="1"/>
  <c r="P831" i="1"/>
  <c r="Q830" i="1"/>
  <c r="P830" i="1"/>
  <c r="Q829" i="1"/>
  <c r="P829" i="1"/>
  <c r="Q828" i="1"/>
  <c r="P828" i="1"/>
  <c r="Q827" i="1"/>
  <c r="P827" i="1"/>
  <c r="Q826" i="1"/>
  <c r="P826" i="1"/>
  <c r="Q825" i="1"/>
  <c r="P825" i="1"/>
  <c r="Q824" i="1"/>
  <c r="P824" i="1"/>
  <c r="Q823" i="1"/>
  <c r="P823" i="1"/>
  <c r="Q822" i="1"/>
  <c r="P822" i="1"/>
  <c r="Q821" i="1"/>
  <c r="P821" i="1"/>
  <c r="Q820" i="1"/>
  <c r="P820" i="1"/>
  <c r="Q819" i="1"/>
  <c r="P819" i="1"/>
  <c r="Q818" i="1"/>
  <c r="P818" i="1"/>
  <c r="Q817" i="1"/>
  <c r="P817" i="1"/>
  <c r="Q816" i="1"/>
  <c r="P816" i="1"/>
  <c r="Q815" i="1"/>
  <c r="P815" i="1"/>
  <c r="Q814" i="1"/>
  <c r="P814" i="1"/>
  <c r="Q813" i="1"/>
  <c r="P813" i="1"/>
  <c r="Q812" i="1"/>
  <c r="P812" i="1"/>
  <c r="Q811" i="1"/>
  <c r="P811" i="1"/>
  <c r="Q810" i="1"/>
  <c r="P810" i="1"/>
  <c r="Q809" i="1"/>
  <c r="P809" i="1"/>
  <c r="Q808" i="1"/>
  <c r="P808" i="1"/>
  <c r="Q807" i="1"/>
  <c r="P807" i="1"/>
  <c r="Q806" i="1"/>
  <c r="P806" i="1"/>
  <c r="Q805" i="1"/>
  <c r="P805" i="1"/>
  <c r="Q804" i="1"/>
  <c r="P804" i="1"/>
  <c r="Q803" i="1"/>
  <c r="P803" i="1"/>
  <c r="Q802" i="1"/>
  <c r="P802" i="1"/>
  <c r="Q801" i="1"/>
  <c r="P801" i="1"/>
  <c r="Q800" i="1"/>
  <c r="P800" i="1"/>
  <c r="Q799" i="1"/>
  <c r="P799" i="1"/>
  <c r="Q798" i="1"/>
  <c r="P798" i="1"/>
  <c r="Q797" i="1"/>
  <c r="P797" i="1"/>
  <c r="Q796" i="1"/>
  <c r="P796" i="1"/>
  <c r="Q795" i="1"/>
  <c r="P795" i="1"/>
  <c r="Q794" i="1"/>
  <c r="P794" i="1"/>
  <c r="Q793" i="1"/>
  <c r="P793" i="1"/>
  <c r="Q792" i="1"/>
  <c r="P792" i="1"/>
  <c r="Q791" i="1"/>
  <c r="P791" i="1"/>
  <c r="Q790" i="1"/>
  <c r="P790" i="1"/>
  <c r="Q789" i="1"/>
  <c r="P789" i="1"/>
  <c r="Q788" i="1"/>
  <c r="P788" i="1"/>
  <c r="Q787" i="1"/>
  <c r="P787" i="1"/>
  <c r="Q786" i="1"/>
  <c r="P786" i="1"/>
  <c r="Q785" i="1"/>
  <c r="P785" i="1"/>
  <c r="Q784" i="1"/>
  <c r="P784" i="1"/>
  <c r="Q783" i="1"/>
  <c r="P783" i="1"/>
  <c r="Q782" i="1"/>
  <c r="P782" i="1"/>
  <c r="Q781" i="1"/>
  <c r="P781" i="1"/>
  <c r="Q780" i="1"/>
  <c r="P780" i="1"/>
  <c r="Q779" i="1"/>
  <c r="P779" i="1"/>
  <c r="Q778" i="1"/>
  <c r="P778" i="1"/>
  <c r="Q777" i="1"/>
  <c r="P777" i="1"/>
  <c r="Q776" i="1"/>
  <c r="P776" i="1"/>
  <c r="Q775" i="1"/>
  <c r="P775" i="1"/>
  <c r="Q774" i="1"/>
  <c r="P774" i="1"/>
  <c r="Q773" i="1"/>
  <c r="P773" i="1"/>
  <c r="Q772" i="1"/>
  <c r="P772" i="1"/>
  <c r="Q771" i="1"/>
  <c r="P771" i="1"/>
  <c r="Q770" i="1"/>
  <c r="P770" i="1"/>
  <c r="Q769" i="1"/>
  <c r="P769" i="1"/>
  <c r="Q768" i="1"/>
  <c r="P768" i="1"/>
  <c r="Q767" i="1"/>
  <c r="P767" i="1"/>
  <c r="Q766" i="1"/>
  <c r="P766" i="1"/>
  <c r="Q765" i="1"/>
  <c r="P765" i="1"/>
  <c r="Q764" i="1"/>
  <c r="P764" i="1"/>
  <c r="Q763" i="1"/>
  <c r="P763" i="1"/>
  <c r="Q762" i="1"/>
  <c r="P762" i="1"/>
  <c r="Q761" i="1"/>
  <c r="P761" i="1"/>
  <c r="Q760" i="1"/>
  <c r="P760" i="1"/>
  <c r="Q759" i="1"/>
  <c r="P759" i="1"/>
  <c r="Q758" i="1"/>
  <c r="P758" i="1"/>
  <c r="Q757" i="1"/>
  <c r="P757" i="1"/>
  <c r="Q756" i="1"/>
  <c r="P756" i="1"/>
  <c r="Q755" i="1"/>
  <c r="P755" i="1"/>
  <c r="Q754" i="1"/>
  <c r="P754" i="1"/>
  <c r="Q753" i="1"/>
  <c r="P753" i="1"/>
  <c r="Q752" i="1"/>
  <c r="P752" i="1"/>
  <c r="Q751" i="1"/>
  <c r="P751" i="1"/>
  <c r="Q750" i="1"/>
  <c r="P750" i="1"/>
  <c r="Q749" i="1"/>
  <c r="P749" i="1"/>
  <c r="Q748" i="1"/>
  <c r="P748" i="1"/>
  <c r="Q747" i="1"/>
  <c r="P747" i="1"/>
  <c r="Q746" i="1"/>
  <c r="P746" i="1"/>
  <c r="Q745" i="1"/>
  <c r="P745" i="1"/>
  <c r="Q744" i="1"/>
  <c r="P744" i="1"/>
  <c r="Q743" i="1"/>
  <c r="P743" i="1"/>
  <c r="Q742" i="1"/>
  <c r="P742" i="1"/>
  <c r="Q741" i="1"/>
  <c r="P741" i="1"/>
  <c r="Q740" i="1"/>
  <c r="P740" i="1"/>
  <c r="Q739" i="1"/>
  <c r="P739" i="1"/>
  <c r="Q738" i="1"/>
  <c r="P738" i="1"/>
  <c r="Q737" i="1"/>
  <c r="P737" i="1"/>
  <c r="Q736" i="1"/>
  <c r="P736" i="1"/>
  <c r="Q735" i="1"/>
  <c r="P735" i="1"/>
  <c r="Q734" i="1"/>
  <c r="P734" i="1"/>
  <c r="Q733" i="1"/>
  <c r="P733" i="1"/>
  <c r="Q732" i="1"/>
  <c r="P732" i="1"/>
  <c r="Q731" i="1"/>
  <c r="P731" i="1"/>
  <c r="Q730" i="1"/>
  <c r="P730" i="1"/>
  <c r="Q729" i="1"/>
  <c r="P729" i="1"/>
  <c r="Q728" i="1"/>
  <c r="P728" i="1"/>
  <c r="Q727" i="1"/>
  <c r="P727" i="1"/>
  <c r="Q726" i="1"/>
  <c r="P726" i="1"/>
  <c r="Q725" i="1"/>
  <c r="P725" i="1"/>
  <c r="Q724" i="1"/>
  <c r="P724" i="1"/>
  <c r="Q723" i="1"/>
  <c r="P723" i="1"/>
  <c r="Q722" i="1"/>
  <c r="P722" i="1"/>
  <c r="Q721" i="1"/>
  <c r="P721" i="1"/>
  <c r="Q720" i="1"/>
  <c r="P720" i="1"/>
  <c r="Q719" i="1"/>
  <c r="P719" i="1"/>
  <c r="Q718" i="1"/>
  <c r="P718" i="1"/>
  <c r="Q717" i="1"/>
  <c r="P717" i="1"/>
  <c r="Q716" i="1"/>
  <c r="P716" i="1"/>
  <c r="Q715" i="1"/>
  <c r="P715" i="1"/>
  <c r="Q714" i="1"/>
  <c r="P714" i="1"/>
  <c r="Q713" i="1"/>
  <c r="P713" i="1"/>
  <c r="Q712" i="1"/>
  <c r="P712" i="1"/>
  <c r="Q711" i="1"/>
  <c r="P711" i="1"/>
  <c r="Q710" i="1"/>
  <c r="P710" i="1"/>
  <c r="Q709" i="1"/>
  <c r="P709" i="1"/>
  <c r="Q708" i="1"/>
  <c r="P708" i="1"/>
  <c r="Q707" i="1"/>
  <c r="P707" i="1"/>
  <c r="Q706" i="1"/>
  <c r="P706" i="1"/>
  <c r="Q705" i="1"/>
  <c r="P705" i="1"/>
  <c r="Q704" i="1"/>
  <c r="P704" i="1"/>
  <c r="Q703" i="1"/>
  <c r="P703" i="1"/>
  <c r="Q702" i="1"/>
  <c r="P702" i="1"/>
  <c r="Q701" i="1"/>
  <c r="P701" i="1"/>
  <c r="Q700" i="1"/>
  <c r="P700" i="1"/>
  <c r="Q699" i="1"/>
  <c r="P699" i="1"/>
  <c r="Q698" i="1"/>
  <c r="P698" i="1"/>
  <c r="Q697" i="1"/>
  <c r="P697" i="1"/>
  <c r="Q696" i="1"/>
  <c r="P696" i="1"/>
  <c r="Q695" i="1"/>
  <c r="P695" i="1"/>
  <c r="Q694" i="1"/>
  <c r="P694" i="1"/>
  <c r="Q693" i="1"/>
  <c r="P693" i="1"/>
  <c r="Q692" i="1"/>
  <c r="P692" i="1"/>
  <c r="Q691" i="1"/>
  <c r="P691" i="1"/>
  <c r="Q690" i="1"/>
  <c r="P690" i="1"/>
  <c r="Q689" i="1"/>
  <c r="P689" i="1"/>
  <c r="Q688" i="1"/>
  <c r="P688" i="1"/>
  <c r="Q687" i="1"/>
  <c r="P687" i="1"/>
  <c r="Q686" i="1"/>
  <c r="P686" i="1"/>
  <c r="Q685" i="1"/>
  <c r="P685" i="1"/>
  <c r="Q684" i="1"/>
  <c r="P684" i="1"/>
  <c r="Q683" i="1"/>
  <c r="P683" i="1"/>
  <c r="Q682" i="1"/>
  <c r="P682" i="1"/>
  <c r="Q681" i="1"/>
  <c r="P681" i="1"/>
  <c r="Q680" i="1"/>
  <c r="P680" i="1"/>
  <c r="Q679" i="1"/>
  <c r="P679" i="1"/>
  <c r="Q678" i="1"/>
  <c r="P678" i="1"/>
  <c r="Q677" i="1"/>
  <c r="P677" i="1"/>
  <c r="Q676" i="1"/>
  <c r="P676" i="1"/>
  <c r="Q675" i="1"/>
  <c r="P675" i="1"/>
  <c r="Q674" i="1"/>
  <c r="P674" i="1"/>
  <c r="Q673" i="1"/>
  <c r="P673" i="1"/>
  <c r="Q672" i="1"/>
  <c r="P672" i="1"/>
  <c r="Q671" i="1"/>
  <c r="P671" i="1"/>
  <c r="Q670" i="1"/>
  <c r="P670" i="1"/>
  <c r="Q669" i="1"/>
  <c r="P669" i="1"/>
  <c r="Q668" i="1"/>
  <c r="P668" i="1"/>
  <c r="Q667" i="1"/>
  <c r="P667" i="1"/>
  <c r="Q666" i="1"/>
  <c r="P666" i="1"/>
  <c r="Q665" i="1"/>
  <c r="P665" i="1"/>
  <c r="Q664" i="1"/>
  <c r="P664" i="1"/>
  <c r="Q663" i="1"/>
  <c r="P663" i="1"/>
  <c r="Q662" i="1"/>
  <c r="P662" i="1"/>
  <c r="Q661" i="1"/>
  <c r="P661" i="1"/>
  <c r="Q660" i="1"/>
  <c r="P660" i="1"/>
  <c r="Q659" i="1"/>
  <c r="P659" i="1"/>
  <c r="Q658" i="1"/>
  <c r="P658" i="1"/>
  <c r="Q657" i="1"/>
  <c r="P657" i="1"/>
  <c r="Q656" i="1"/>
  <c r="P656" i="1"/>
  <c r="Q655" i="1"/>
  <c r="P655" i="1"/>
  <c r="Q654" i="1"/>
  <c r="P654" i="1"/>
  <c r="Q653" i="1"/>
  <c r="P653" i="1"/>
  <c r="Q652" i="1"/>
  <c r="P652" i="1"/>
  <c r="Q651" i="1"/>
  <c r="P651" i="1"/>
  <c r="Q650" i="1"/>
  <c r="P650" i="1"/>
  <c r="Q649" i="1"/>
  <c r="P649" i="1"/>
  <c r="Q648" i="1"/>
  <c r="P648" i="1"/>
  <c r="Q647" i="1"/>
  <c r="P647" i="1"/>
  <c r="Q646" i="1"/>
  <c r="P646" i="1"/>
  <c r="Q645" i="1"/>
  <c r="P645" i="1"/>
  <c r="Q644" i="1"/>
  <c r="P644" i="1"/>
  <c r="Q643" i="1"/>
  <c r="P643" i="1"/>
  <c r="Q642" i="1"/>
  <c r="P642" i="1"/>
  <c r="Q641" i="1"/>
  <c r="P641" i="1"/>
  <c r="Q640" i="1"/>
  <c r="P640" i="1"/>
  <c r="Q639" i="1"/>
  <c r="P639" i="1"/>
  <c r="Q638" i="1"/>
  <c r="P638" i="1"/>
  <c r="Q637" i="1"/>
  <c r="P637" i="1"/>
  <c r="Q636" i="1"/>
  <c r="P636" i="1"/>
  <c r="Q635" i="1"/>
  <c r="P635" i="1"/>
  <c r="Q634" i="1"/>
  <c r="P634" i="1"/>
  <c r="Q633" i="1"/>
  <c r="P633" i="1"/>
  <c r="Q632" i="1"/>
  <c r="P632" i="1"/>
  <c r="Q631" i="1"/>
  <c r="P631" i="1"/>
  <c r="Q630" i="1"/>
  <c r="P630" i="1"/>
  <c r="Q629" i="1"/>
  <c r="P629" i="1"/>
  <c r="Q628" i="1"/>
  <c r="P628" i="1"/>
  <c r="Q627" i="1"/>
  <c r="P627" i="1"/>
  <c r="Q626" i="1"/>
  <c r="P626" i="1"/>
  <c r="Q625" i="1"/>
  <c r="P625" i="1"/>
  <c r="Q624" i="1"/>
  <c r="P624" i="1"/>
  <c r="Q623" i="1"/>
  <c r="P623" i="1"/>
  <c r="Q622" i="1"/>
  <c r="P622" i="1"/>
  <c r="Q621" i="1"/>
  <c r="P621" i="1"/>
  <c r="Q620" i="1"/>
  <c r="P620" i="1"/>
  <c r="Q619" i="1"/>
  <c r="P619" i="1"/>
  <c r="Q618" i="1"/>
  <c r="P618" i="1"/>
  <c r="Q617" i="1"/>
  <c r="P617" i="1"/>
  <c r="Q616" i="1"/>
  <c r="P616" i="1"/>
  <c r="Q615" i="1"/>
  <c r="P615" i="1"/>
  <c r="Q614" i="1"/>
  <c r="P614" i="1"/>
  <c r="Q613" i="1"/>
  <c r="P613" i="1"/>
  <c r="Q612" i="1"/>
  <c r="P612" i="1"/>
  <c r="Q611" i="1"/>
  <c r="P611" i="1"/>
  <c r="Q610" i="1"/>
  <c r="P610" i="1"/>
  <c r="Q609" i="1"/>
  <c r="P609" i="1"/>
  <c r="Q608" i="1"/>
  <c r="P608" i="1"/>
  <c r="Q607" i="1"/>
  <c r="P607" i="1"/>
  <c r="Q606" i="1"/>
  <c r="P606" i="1"/>
  <c r="Q605" i="1"/>
  <c r="P605" i="1"/>
  <c r="Q604" i="1"/>
  <c r="P604" i="1"/>
  <c r="Q603" i="1"/>
  <c r="P603" i="1"/>
  <c r="Q602" i="1"/>
  <c r="P602" i="1"/>
  <c r="Q601" i="1"/>
  <c r="P601" i="1"/>
  <c r="Q600" i="1"/>
  <c r="P600" i="1"/>
  <c r="Q599" i="1"/>
  <c r="P599" i="1"/>
  <c r="Q598" i="1"/>
  <c r="P598" i="1"/>
  <c r="Q597" i="1"/>
  <c r="P597" i="1"/>
  <c r="Q596" i="1"/>
  <c r="P596" i="1"/>
  <c r="Q595" i="1"/>
  <c r="P595" i="1"/>
  <c r="Q594" i="1"/>
  <c r="P594" i="1"/>
  <c r="Q593" i="1"/>
  <c r="P593" i="1"/>
  <c r="Q592" i="1"/>
  <c r="P592" i="1"/>
  <c r="Q591" i="1"/>
  <c r="P591" i="1"/>
  <c r="Q590" i="1"/>
  <c r="P590" i="1"/>
  <c r="Q589" i="1"/>
  <c r="P589" i="1"/>
  <c r="Q588" i="1"/>
  <c r="P588" i="1"/>
  <c r="Q587" i="1"/>
  <c r="P587" i="1"/>
  <c r="Q586" i="1"/>
  <c r="P586" i="1"/>
  <c r="Q585" i="1"/>
  <c r="P585" i="1"/>
  <c r="Q584" i="1"/>
  <c r="P584" i="1"/>
  <c r="Q583" i="1"/>
  <c r="P583" i="1"/>
  <c r="Q582" i="1"/>
  <c r="P582" i="1"/>
  <c r="Q581" i="1"/>
  <c r="P581" i="1"/>
  <c r="Q580" i="1"/>
  <c r="P580" i="1"/>
  <c r="Q579" i="1"/>
  <c r="P579" i="1"/>
  <c r="Q578" i="1"/>
  <c r="P578" i="1"/>
  <c r="Q577" i="1"/>
  <c r="P577" i="1"/>
  <c r="Q576" i="1"/>
  <c r="P576" i="1"/>
  <c r="Q575" i="1"/>
  <c r="P575" i="1"/>
  <c r="Q574" i="1"/>
  <c r="P574" i="1"/>
  <c r="Q573" i="1"/>
  <c r="P573" i="1"/>
  <c r="Q572" i="1"/>
  <c r="P572" i="1"/>
  <c r="Q571" i="1"/>
  <c r="P571" i="1"/>
  <c r="Q570" i="1"/>
  <c r="P570" i="1"/>
  <c r="Q569" i="1"/>
  <c r="P569" i="1"/>
  <c r="Q568" i="1"/>
  <c r="P568" i="1"/>
  <c r="Q567" i="1"/>
  <c r="P567" i="1"/>
  <c r="Q566" i="1"/>
  <c r="P566" i="1"/>
  <c r="Q565" i="1"/>
  <c r="P565" i="1"/>
  <c r="Q564" i="1"/>
  <c r="P564" i="1"/>
  <c r="Q563" i="1"/>
  <c r="P563" i="1"/>
  <c r="Q562" i="1"/>
  <c r="P562" i="1"/>
  <c r="Q561" i="1"/>
  <c r="P561" i="1"/>
  <c r="Q560" i="1"/>
  <c r="P560" i="1"/>
  <c r="Q559" i="1"/>
  <c r="P559" i="1"/>
  <c r="Q558" i="1"/>
  <c r="P558" i="1"/>
  <c r="Q557" i="1"/>
  <c r="P557" i="1"/>
  <c r="Q556" i="1"/>
  <c r="P556" i="1"/>
  <c r="Q555" i="1"/>
  <c r="P555" i="1"/>
  <c r="Q554" i="1"/>
  <c r="P554" i="1"/>
  <c r="Q553" i="1"/>
  <c r="P553" i="1"/>
  <c r="Q552" i="1"/>
  <c r="P552" i="1"/>
  <c r="Q551" i="1"/>
  <c r="P551" i="1"/>
  <c r="Q550" i="1"/>
  <c r="P550" i="1"/>
  <c r="Q549" i="1"/>
  <c r="P549" i="1"/>
  <c r="Q548" i="1"/>
  <c r="P548" i="1"/>
  <c r="Q547" i="1"/>
  <c r="P547" i="1"/>
  <c r="Q546" i="1"/>
  <c r="P546" i="1"/>
  <c r="Q545" i="1"/>
  <c r="P545" i="1"/>
  <c r="Q544" i="1"/>
  <c r="P544" i="1"/>
  <c r="Q543" i="1"/>
  <c r="P543" i="1"/>
  <c r="Q542" i="1"/>
  <c r="P542" i="1"/>
  <c r="Q541" i="1"/>
  <c r="P541" i="1"/>
  <c r="Q540" i="1"/>
  <c r="P540" i="1"/>
  <c r="Q539" i="1"/>
  <c r="P539" i="1"/>
  <c r="Q538" i="1"/>
  <c r="P538" i="1"/>
  <c r="Q537" i="1"/>
  <c r="P537" i="1"/>
  <c r="Q536" i="1"/>
  <c r="P536" i="1"/>
  <c r="Q535" i="1"/>
  <c r="P535" i="1"/>
  <c r="Q534" i="1"/>
  <c r="P534" i="1"/>
  <c r="Q533" i="1"/>
  <c r="P533" i="1"/>
  <c r="Q532" i="1"/>
  <c r="P532" i="1"/>
  <c r="Q531" i="1"/>
  <c r="P531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Q522" i="1"/>
  <c r="P522" i="1"/>
  <c r="Q521" i="1"/>
  <c r="P521" i="1"/>
  <c r="Q520" i="1"/>
  <c r="P520" i="1"/>
  <c r="Q519" i="1"/>
  <c r="P519" i="1"/>
  <c r="Q518" i="1"/>
  <c r="P518" i="1"/>
  <c r="Q517" i="1"/>
  <c r="P517" i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W10" i="1" l="1"/>
  <c r="AA11" i="1"/>
  <c r="AC11" i="1" s="1"/>
  <c r="AA10" i="1"/>
  <c r="AC10" i="1" s="1"/>
  <c r="D15" i="2"/>
  <c r="D13" i="2"/>
  <c r="V11" i="1"/>
  <c r="V10" i="1"/>
  <c r="W11" i="1"/>
  <c r="X10" i="1" l="1"/>
  <c r="X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<sst xmlns="http://schemas.openxmlformats.org/spreadsheetml/2006/main" count="3069" uniqueCount="1039">
  <si>
    <t>Transaction ID</t>
  </si>
  <si>
    <t>Year</t>
  </si>
  <si>
    <t>Month</t>
  </si>
  <si>
    <t>Day</t>
  </si>
  <si>
    <t>Day Name</t>
  </si>
  <si>
    <t>Month Name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</si>
  <si>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</si>
  <si>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</si>
  <si>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</si>
  <si>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</si>
  <si>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</si>
  <si>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</si>
  <si>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</si>
  <si>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</si>
  <si>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Total Sales</t>
  </si>
  <si>
    <t>Commission 2023</t>
  </si>
  <si>
    <t>Commission 2024</t>
  </si>
  <si>
    <t>Commission by Year</t>
  </si>
  <si>
    <t>CUST001</t>
  </si>
  <si>
    <t>Male</t>
  </si>
  <si>
    <t>Beauty</t>
  </si>
  <si>
    <t>CUST002</t>
  </si>
  <si>
    <t>Female</t>
  </si>
  <si>
    <t>Clothing</t>
  </si>
  <si>
    <t>rate (%)</t>
  </si>
  <si>
    <t>CUST003</t>
  </si>
  <si>
    <t>Electronics</t>
  </si>
  <si>
    <t>CUST004</t>
  </si>
  <si>
    <t>CUST005</t>
  </si>
  <si>
    <t>CUST006</t>
  </si>
  <si>
    <t>CUST007</t>
  </si>
  <si>
    <t>CUST008</t>
  </si>
  <si>
    <t>Commission</t>
  </si>
  <si>
    <t>2 Year Combined</t>
  </si>
  <si>
    <t>CUST009</t>
  </si>
  <si>
    <t>Total</t>
  </si>
  <si>
    <t>CUST010</t>
  </si>
  <si>
    <t>Average</t>
  </si>
  <si>
    <t>CUST011</t>
  </si>
  <si>
    <t>CUST012</t>
  </si>
  <si>
    <t>CUST013</t>
  </si>
  <si>
    <t>CUST014</t>
  </si>
  <si>
    <t>Average Sales</t>
  </si>
  <si>
    <t>Young Adult</t>
  </si>
  <si>
    <t>Adult</t>
  </si>
  <si>
    <t>Senior</t>
  </si>
  <si>
    <t>CUST015</t>
  </si>
  <si>
    <t>All Products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</si>
  <si>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</si>
  <si>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</si>
  <si>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</si>
  <si>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</si>
  <si>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</si>
  <si>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</si>
  <si>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</si>
  <si>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</si>
  <si>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</si>
  <si>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</si>
  <si>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</si>
  <si>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</si>
  <si>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</si>
  <si>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</si>
  <si>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</si>
  <si>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</si>
  <si>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</si>
  <si>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</si>
  <si>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</si>
  <si>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</si>
  <si>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</si>
  <si>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</si>
  <si>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</si>
  <si>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</si>
  <si>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</si>
  <si>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</si>
  <si>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</si>
  <si>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</si>
  <si>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</si>
  <si>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</si>
  <si>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</si>
  <si>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</si>
  <si>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</si>
  <si>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</si>
  <si>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</si>
  <si>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</si>
  <si>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</si>
  <si>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</si>
  <si>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</si>
  <si>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</si>
  <si>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</si>
  <si>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</si>
  <si>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</si>
  <si>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</si>
  <si>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</si>
  <si>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</si>
  <si>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</si>
  <si>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</si>
  <si>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</si>
  <si>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</si>
  <si>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</si>
  <si>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</si>
  <si>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</si>
  <si>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</si>
  <si>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</si>
  <si>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</si>
  <si>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</si>
  <si>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</si>
  <si>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</si>
  <si>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</si>
  <si>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</si>
  <si>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</si>
  <si>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</si>
  <si>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</si>
  <si>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</si>
  <si>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</si>
  <si>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</si>
  <si>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</si>
  <si>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</si>
  <si>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</si>
  <si>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</si>
  <si>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</si>
  <si>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</si>
  <si>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</si>
  <si>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</si>
  <si>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</si>
  <si>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</si>
  <si>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</si>
  <si>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</si>
  <si>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</si>
  <si>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</si>
  <si>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</si>
  <si>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</si>
  <si>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</si>
  <si>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</si>
  <si>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</si>
  <si>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</si>
  <si>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</si>
  <si>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</si>
  <si>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</si>
  <si>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</si>
  <si>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</si>
  <si>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</si>
  <si>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</si>
  <si>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</si>
  <si>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</si>
  <si>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</si>
  <si>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</si>
  <si>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</si>
  <si>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</si>
  <si>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</si>
  <si>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</si>
  <si>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</si>
  <si>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</si>
  <si>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</si>
  <si>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</si>
  <si>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</si>
  <si>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</si>
  <si>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</si>
  <si>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</si>
  <si>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</si>
  <si>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</si>
  <si>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</si>
  <si>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</si>
  <si>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</si>
  <si>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</si>
  <si>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</si>
  <si>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</si>
  <si>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</si>
  <si>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</si>
  <si>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</si>
  <si>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</si>
  <si>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</si>
  <si>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</si>
  <si>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</si>
  <si>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</si>
  <si>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</si>
  <si>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</si>
  <si>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</si>
  <si>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</si>
  <si>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</si>
  <si>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</si>
  <si>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</si>
  <si>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</si>
  <si>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</si>
  <si>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</si>
  <si>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</si>
  <si>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</si>
  <si>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</si>
  <si>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</si>
  <si>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</si>
  <si>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</si>
  <si>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</si>
  <si>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</si>
  <si>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</si>
  <si>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</si>
  <si>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</si>
  <si>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</si>
  <si>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</si>
  <si>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</si>
  <si>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</si>
  <si>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</si>
  <si>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</si>
  <si>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</si>
  <si>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</si>
  <si>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</si>
  <si>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</si>
  <si>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</si>
  <si>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</si>
  <si>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</si>
  <si>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</si>
  <si>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</si>
  <si>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</si>
  <si>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</si>
  <si>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</si>
  <si>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</si>
  <si>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</si>
  <si>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</si>
  <si>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</si>
  <si>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</si>
  <si>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</si>
  <si>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</si>
  <si>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</si>
  <si>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</si>
  <si>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</si>
  <si>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</si>
  <si>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</si>
  <si>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</si>
  <si>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</si>
  <si>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</si>
  <si>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</si>
  <si>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</si>
  <si>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</si>
  <si>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</si>
  <si>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</si>
  <si>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</si>
  <si>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</si>
  <si>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</si>
  <si>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</si>
  <si>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</si>
  <si>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</si>
  <si>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</si>
  <si>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</si>
  <si>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</si>
  <si>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</si>
  <si>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</si>
  <si>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</si>
  <si>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</si>
  <si>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</si>
  <si>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</si>
  <si>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</si>
  <si>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</si>
  <si>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</si>
  <si>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</si>
  <si>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</si>
  <si>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</si>
  <si>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</si>
  <si>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</si>
  <si>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</si>
  <si>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</si>
  <si>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</si>
  <si>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</si>
  <si>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</si>
  <si>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</si>
  <si>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</si>
  <si>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</si>
  <si>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</si>
  <si>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</si>
  <si>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</si>
  <si>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</si>
  <si>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</si>
  <si>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</si>
  <si>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</si>
  <si>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</si>
  <si>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</si>
  <si>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</si>
  <si>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</si>
  <si>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</si>
  <si>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</si>
  <si>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</si>
  <si>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</si>
  <si>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</si>
  <si>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</si>
  <si>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</si>
  <si>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</si>
  <si>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</si>
  <si>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</si>
  <si>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</si>
  <si>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</si>
  <si>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</si>
  <si>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</si>
  <si>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</si>
  <si>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</si>
  <si>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</si>
  <si>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</si>
  <si>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</si>
  <si>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</si>
  <si>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</si>
  <si>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</si>
  <si>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</si>
  <si>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</si>
  <si>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</si>
  <si>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</si>
  <si>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</si>
  <si>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</si>
  <si>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</si>
  <si>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</si>
  <si>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</si>
  <si>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</si>
  <si>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</si>
  <si>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</si>
  <si>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</si>
  <si>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</si>
  <si>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</si>
  <si>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</si>
  <si>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</si>
  <si>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</si>
  <si>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</si>
  <si>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</si>
  <si>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</si>
  <si>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</si>
  <si>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</si>
  <si>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</si>
  <si>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</si>
  <si>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</si>
  <si>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</si>
  <si>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</si>
  <si>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</si>
  <si>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</si>
  <si>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</si>
  <si>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</si>
  <si>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</si>
  <si>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</si>
  <si>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</si>
  <si>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</si>
  <si>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</si>
  <si>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</si>
  <si>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</si>
  <si>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</si>
  <si>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</si>
  <si>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</si>
  <si>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</si>
  <si>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</si>
  <si>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</si>
  <si>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</si>
  <si>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</si>
  <si>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</si>
  <si>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</si>
  <si>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</si>
  <si>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</si>
  <si>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</si>
  <si>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</si>
  <si>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</si>
  <si>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</si>
  <si>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</si>
  <si>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</si>
  <si>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</si>
  <si>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</si>
  <si>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</si>
  <si>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</si>
  <si>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</si>
  <si>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</si>
  <si>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</si>
  <si>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</si>
  <si>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</si>
  <si>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</si>
  <si>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</si>
  <si>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</si>
  <si>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</si>
  <si>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</si>
  <si>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</si>
  <si>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</si>
  <si>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</si>
  <si>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</si>
  <si>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</si>
  <si>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</si>
  <si>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</si>
  <si>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</si>
  <si>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</si>
  <si>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</si>
  <si>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</si>
  <si>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</si>
  <si>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</si>
  <si>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</si>
  <si>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</si>
  <si>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</si>
  <si>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</si>
  <si>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</si>
  <si>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</si>
  <si>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</si>
  <si>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</si>
  <si>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</si>
  <si>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</si>
  <si>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</si>
  <si>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</si>
  <si>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</si>
  <si>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</si>
  <si>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</si>
  <si>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</si>
  <si>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</si>
  <si>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</si>
  <si>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</si>
  <si>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</si>
  <si>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</si>
  <si>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</si>
  <si>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</si>
  <si>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</si>
  <si>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</si>
  <si>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</si>
  <si>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</si>
  <si>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</si>
  <si>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</si>
  <si>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</si>
  <si>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</si>
  <si>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</si>
  <si>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</si>
  <si>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</si>
  <si>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</si>
  <si>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</si>
  <si>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</si>
  <si>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</si>
  <si>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</si>
  <si>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</si>
  <si>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</si>
  <si>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</si>
  <si>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</si>
  <si>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</si>
  <si>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</si>
  <si>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</si>
  <si>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</si>
  <si>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</si>
  <si>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</si>
  <si>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</si>
  <si>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</si>
  <si>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</si>
  <si>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</si>
  <si>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</si>
  <si>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</si>
  <si>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</si>
  <si>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</si>
  <si>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</si>
  <si>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</si>
  <si>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</si>
  <si>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</si>
  <si>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</si>
  <si>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</si>
  <si>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</si>
  <si>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</si>
  <si>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</si>
  <si>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</si>
  <si>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</si>
  <si>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</si>
  <si>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</si>
  <si>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</si>
  <si>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</si>
  <si>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</si>
  <si>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</si>
  <si>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</si>
  <si>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</si>
  <si>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</si>
  <si>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</si>
  <si>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</si>
  <si>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</si>
  <si>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</si>
  <si>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</si>
  <si>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</si>
  <si>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</si>
  <si>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</si>
  <si>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</si>
  <si>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</si>
  <si>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</si>
  <si>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</si>
  <si>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</si>
  <si>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</si>
  <si>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</si>
  <si>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</si>
  <si>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</si>
  <si>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</si>
  <si>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</si>
  <si>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</si>
  <si>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</si>
  <si>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</si>
  <si>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</si>
  <si>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</si>
  <si>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</si>
  <si>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</si>
  <si>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</si>
  <si>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</si>
  <si>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</si>
  <si>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</si>
  <si>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</si>
  <si>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</si>
  <si>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</si>
  <si>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</si>
  <si>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</si>
  <si>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</si>
  <si>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</si>
  <si>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</si>
  <si>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</si>
  <si>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</si>
  <si>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</si>
  <si>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</si>
  <si>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</si>
  <si>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</si>
  <si>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</si>
  <si>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</si>
  <si>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</si>
  <si>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</si>
  <si>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</si>
  <si>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</si>
  <si>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</si>
  <si>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</si>
  <si>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</si>
  <si>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</si>
  <si>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</si>
  <si>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</si>
  <si>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</si>
  <si>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</si>
  <si>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</si>
  <si>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</si>
  <si>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</si>
  <si>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</si>
  <si>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</si>
  <si>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</si>
  <si>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</si>
  <si>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</si>
  <si>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</si>
  <si>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</si>
  <si>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</si>
  <si>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</si>
  <si>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</si>
  <si>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</si>
  <si>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</si>
  <si>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</si>
  <si>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</si>
  <si>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</si>
  <si>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</si>
  <si>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</si>
  <si>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</si>
  <si>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</si>
  <si>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</si>
  <si>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</si>
  <si>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</si>
  <si>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</si>
  <si>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</si>
  <si>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</si>
  <si>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</si>
  <si>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</si>
  <si>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</si>
  <si>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</si>
  <si>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</si>
  <si>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</si>
  <si>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</si>
  <si>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</si>
  <si>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</si>
  <si>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</si>
  <si>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</si>
  <si>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</si>
  <si>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</si>
  <si>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</si>
  <si>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</si>
  <si>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</si>
  <si>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</si>
  <si>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</si>
  <si>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</si>
  <si>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</si>
  <si>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</si>
  <si>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</si>
  <si>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</si>
  <si>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</si>
  <si>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</si>
  <si>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</si>
  <si>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</si>
  <si>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</si>
  <si>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</si>
  <si>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</si>
  <si>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</si>
  <si>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</si>
  <si>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</si>
  <si>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</si>
  <si>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</si>
  <si>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</si>
  <si>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</si>
  <si>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</si>
  <si>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</si>
  <si>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</si>
  <si>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</si>
  <si>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</si>
  <si>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</si>
  <si>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</si>
  <si>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</si>
  <si>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</si>
  <si>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</si>
  <si>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</si>
  <si>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</si>
  <si>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</si>
  <si>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</si>
  <si>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</si>
  <si>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</si>
  <si>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</si>
  <si>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</si>
  <si>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</si>
  <si>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</si>
  <si>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</si>
  <si>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</si>
  <si>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</si>
  <si>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</si>
  <si>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</si>
  <si>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</si>
  <si>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</si>
  <si>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</si>
  <si>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</si>
  <si>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</si>
  <si>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</si>
  <si>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</si>
  <si>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</si>
  <si>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</si>
  <si>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</si>
  <si>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</si>
  <si>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</si>
  <si>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</si>
  <si>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</si>
  <si>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</si>
  <si>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</si>
  <si>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</si>
  <si>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</si>
  <si>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</si>
  <si>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</si>
  <si>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</si>
  <si>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</si>
  <si>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</si>
  <si>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</si>
  <si>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</si>
  <si>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</si>
  <si>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</si>
  <si>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</si>
  <si>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</si>
  <si>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</si>
  <si>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</si>
  <si>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</si>
  <si>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</si>
  <si>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</si>
  <si>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</si>
  <si>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</si>
  <si>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</si>
  <si>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</si>
  <si>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</si>
  <si>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</si>
  <si>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</si>
  <si>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</si>
  <si>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</si>
  <si>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</si>
  <si>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</si>
  <si>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</si>
  <si>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</si>
  <si>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</si>
  <si>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</si>
  <si>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</si>
  <si>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</si>
  <si>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</si>
  <si>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</si>
  <si>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</si>
  <si>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</si>
  <si>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</si>
  <si>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</si>
  <si>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</si>
  <si>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</si>
  <si>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</si>
  <si>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</si>
  <si>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</si>
  <si>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</si>
  <si>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</si>
  <si>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</si>
  <si>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</si>
  <si>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</si>
  <si>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</si>
  <si>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</si>
  <si>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</si>
  <si>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</si>
  <si>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</si>
  <si>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</si>
  <si>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</si>
  <si>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</si>
  <si>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</si>
  <si>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</si>
  <si>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</si>
  <si>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</si>
  <si>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</si>
  <si>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</si>
  <si>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</si>
  <si>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</si>
  <si>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</si>
  <si>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</si>
  <si>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</si>
  <si>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</si>
  <si>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</si>
  <si>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</si>
  <si>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</si>
  <si>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</si>
  <si>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</si>
  <si>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</si>
  <si>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</si>
  <si>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</si>
  <si>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</si>
  <si>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</si>
  <si>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</si>
  <si>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</si>
  <si>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</si>
  <si>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</si>
  <si>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</si>
  <si>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</si>
  <si>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</si>
  <si>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</si>
  <si>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</si>
  <si>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</si>
  <si>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</si>
  <si>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</si>
  <si>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</si>
  <si>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</si>
  <si>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</si>
  <si>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</si>
  <si>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</si>
  <si>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</si>
  <si>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</si>
  <si>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</si>
  <si>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</si>
  <si>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</si>
  <si>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</si>
  <si>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</si>
  <si>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</si>
  <si>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</si>
  <si>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</si>
  <si>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</si>
  <si>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</si>
  <si>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</si>
  <si>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</si>
  <si>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</si>
  <si>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</si>
  <si>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</si>
  <si>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</si>
  <si>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</si>
  <si>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</si>
  <si>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</si>
  <si>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</si>
  <si>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</si>
  <si>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</si>
  <si>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</si>
  <si>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</si>
  <si>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</si>
  <si>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</si>
  <si>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</si>
  <si>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</si>
  <si>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</si>
  <si>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</si>
  <si>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</si>
  <si>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</si>
  <si>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</si>
  <si>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</si>
  <si>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</si>
  <si>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</si>
  <si>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</si>
  <si>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</si>
  <si>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</si>
  <si>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</si>
  <si>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</si>
  <si>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</si>
  <si>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</si>
  <si>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</si>
  <si>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</si>
  <si>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</si>
  <si>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</si>
  <si>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</si>
  <si>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</si>
  <si>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</si>
  <si>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</si>
  <si>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</si>
  <si>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</si>
  <si>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</si>
  <si>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</si>
  <si>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</si>
  <si>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</si>
  <si>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</si>
  <si>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</si>
  <si>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</si>
  <si>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</si>
  <si>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</si>
  <si>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</si>
  <si>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</si>
  <si>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</si>
  <si>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</si>
  <si>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</si>
  <si>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</si>
  <si>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</si>
  <si>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</si>
  <si>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</si>
  <si>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</si>
  <si>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</si>
  <si>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</si>
  <si>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</si>
  <si>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</si>
  <si>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</si>
  <si>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</si>
  <si>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</si>
  <si>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</si>
  <si>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</si>
  <si>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</si>
  <si>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</si>
  <si>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</si>
  <si>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</si>
  <si>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</si>
  <si>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</si>
  <si>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</si>
  <si>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</si>
  <si>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</si>
  <si>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</si>
  <si>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</si>
  <si>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</si>
  <si>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</si>
  <si>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</si>
  <si>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</si>
  <si>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</si>
  <si>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</si>
  <si>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</si>
  <si>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</si>
  <si>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</si>
  <si>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</si>
  <si>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</si>
  <si>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</si>
  <si>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</si>
  <si>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</si>
  <si>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</si>
  <si>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</si>
  <si>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</si>
  <si>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</si>
  <si>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</si>
  <si>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</si>
  <si>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</si>
  <si>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</si>
  <si>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</si>
  <si>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</si>
  <si>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</si>
  <si>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</si>
  <si>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</si>
  <si>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</si>
  <si>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</si>
  <si>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</si>
  <si>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</si>
  <si>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</si>
  <si>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</si>
  <si>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</si>
  <si>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</si>
  <si>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</si>
  <si>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</si>
  <si>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</si>
  <si>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</si>
  <si>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</si>
  <si>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</si>
  <si>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</si>
  <si>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</si>
  <si>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</si>
  <si>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</si>
  <si>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</si>
  <si>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</si>
  <si>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</si>
  <si>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</si>
  <si>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</si>
  <si>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</si>
  <si>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</si>
  <si>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</si>
  <si>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</si>
  <si>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</si>
  <si>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</si>
  <si>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</si>
  <si>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</si>
  <si>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</si>
  <si>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</si>
  <si>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</si>
  <si>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</si>
  <si>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</si>
  <si>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</si>
  <si>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</si>
  <si>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</si>
  <si>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</si>
  <si>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</si>
  <si>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</si>
  <si>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</si>
  <si>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</si>
  <si>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</si>
  <si>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</si>
  <si>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</si>
  <si>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</si>
  <si>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</si>
  <si>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</si>
  <si>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</si>
  <si>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</si>
  <si>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</si>
  <si>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</si>
  <si>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</si>
  <si>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</si>
  <si>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</si>
  <si>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</si>
  <si>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</si>
  <si>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</si>
  <si>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</si>
  <si>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</si>
  <si>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</si>
  <si>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</si>
  <si>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</si>
  <si>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</si>
  <si>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</si>
  <si>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</si>
  <si>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</si>
  <si>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</si>
  <si>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</si>
  <si>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</si>
  <si>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</si>
  <si>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</si>
  <si>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</si>
  <si>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</si>
  <si>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</si>
  <si>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</si>
  <si>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</si>
  <si>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</si>
  <si>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</si>
  <si>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</si>
  <si>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</si>
  <si>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</si>
  <si>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</si>
  <si>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</si>
  <si>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</si>
  <si>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</si>
  <si>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</si>
  <si>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</si>
  <si>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</si>
  <si>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</si>
  <si>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</si>
  <si>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</si>
  <si>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</si>
  <si>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</si>
  <si>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</si>
  <si>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</si>
  <si>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</si>
  <si>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</si>
  <si>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</si>
  <si>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</si>
  <si>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</si>
  <si>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</si>
  <si>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</si>
  <si>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</si>
  <si>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</si>
  <si>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</si>
  <si>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</si>
  <si>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</si>
  <si>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</si>
  <si>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</si>
  <si>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</si>
  <si>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</si>
  <si>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</si>
  <si>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</si>
  <si>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</si>
  <si>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</si>
  <si>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</si>
  <si>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</si>
  <si>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</si>
  <si>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</si>
  <si>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</si>
  <si>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</si>
  <si>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</si>
  <si>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</si>
  <si>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</si>
  <si>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</si>
  <si>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</si>
  <si>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</si>
  <si>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</si>
  <si>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</si>
  <si>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</si>
  <si>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</si>
  <si>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</si>
  <si>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</si>
  <si>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</si>
  <si>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</si>
  <si>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</si>
  <si>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</si>
  <si>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</si>
  <si>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</si>
  <si>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</si>
  <si>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</si>
  <si>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</si>
  <si>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</si>
  <si>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</si>
  <si>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</si>
  <si>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</si>
  <si>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</si>
  <si>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</si>
  <si>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</si>
  <si>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</si>
  <si>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</si>
  <si>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</si>
  <si>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</si>
  <si>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</si>
  <si>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</si>
  <si>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</si>
  <si>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</si>
  <si>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</si>
  <si>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</si>
  <si>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</si>
  <si>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</si>
  <si>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</si>
  <si>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</si>
  <si>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</si>
  <si>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</si>
  <si>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</si>
  <si>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</si>
  <si>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</si>
  <si>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</si>
  <si>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</si>
  <si>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</si>
  <si>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</si>
  <si>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</si>
  <si>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</si>
  <si>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</si>
  <si>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</si>
  <si>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</si>
  <si>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</si>
  <si>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</si>
  <si>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</si>
  <si>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</si>
  <si>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</si>
  <si>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</si>
  <si>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</si>
  <si>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</si>
  <si>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</si>
  <si>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</si>
  <si>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</si>
  <si>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</si>
  <si>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</si>
  <si>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Concatination</t>
  </si>
  <si>
    <t>COUNT Function</t>
  </si>
  <si>
    <t>COUNTA Function</t>
  </si>
  <si>
    <t>Sum of Total Sales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</si>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</sst>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[$£-809]* #,##0.00_-;\-[$£-809]* #,##0.00_-;_-[$£-809]* &quot;-&quot;??_-;_-@_-"/>
    <numFmt numFmtId="166" formatCode="_-[$£-809]* #,##0_-;\-[$£-809]* #,##0_-;_-[$£-809]* &quot;-&quot;??_-;_-@_-"/>
  </numFmts>
  <fonts count="2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scheme val="minor"/>
    </font>
    <font>
      <b/>
      <sz val="11"/>
      <color rgb="FF242424"/>
      <name val="Consolas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4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164" fontId="0" fillId="0" borderId="16" xfId="0" applyNumberFormat="1" applyBorder="1"/>
    <xf numFmtId="9" fontId="0" fillId="0" borderId="17" xfId="0" applyNumberFormat="1" applyBorder="1"/>
    <xf numFmtId="165" fontId="16" fillId="0" borderId="0" xfId="0" applyNumberFormat="1" applyFont="1"/>
    <xf numFmtId="165" fontId="0" fillId="0" borderId="0" xfId="0" applyNumberFormat="1"/>
    <xf numFmtId="166" fontId="18" fillId="0" borderId="15" xfId="0" applyNumberFormat="1" applyFont="1" applyBorder="1"/>
    <xf numFmtId="166" fontId="16" fillId="0" borderId="0" xfId="0" applyNumberFormat="1" applyFont="1"/>
    <xf numFmtId="166" fontId="0" fillId="0" borderId="15" xfId="0" applyNumberFormat="1" applyBorder="1"/>
    <xf numFmtId="166" fontId="0" fillId="0" borderId="0" xfId="0" applyNumberFormat="1"/>
    <xf numFmtId="166" fontId="0" fillId="0" borderId="12" xfId="0" applyNumberFormat="1" applyBorder="1"/>
    <xf numFmtId="165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5" fontId="0" fillId="0" borderId="19" xfId="0" applyNumberFormat="1" applyBorder="1"/>
    <xf numFmtId="165" fontId="0" fillId="0" borderId="20" xfId="0" applyNumberFormat="1" applyBorder="1"/>
    <xf numFmtId="0" fontId="0" fillId="0" borderId="27" xfId="0" applyBorder="1"/>
    <xf numFmtId="166" fontId="0" fillId="0" borderId="18" xfId="0" applyNumberFormat="1" applyBorder="1"/>
    <xf numFmtId="165" fontId="0" fillId="0" borderId="0" xfId="0" applyNumberFormat="1" applyAlignment="1">
      <alignment horizontal="center"/>
    </xf>
    <xf numFmtId="1" fontId="19" fillId="0" borderId="25" xfId="0" applyNumberFormat="1" applyFont="1" applyBorder="1"/>
    <xf numFmtId="1" fontId="14" fillId="0" borderId="19" xfId="0" applyNumberFormat="1" applyFont="1" applyBorder="1"/>
    <xf numFmtId="1" fontId="19" fillId="0" borderId="26" xfId="0" applyNumberFormat="1" applyFont="1" applyBorder="1"/>
    <xf numFmtId="1" fontId="14" fillId="0" borderId="20" xfId="0" applyNumberFormat="1" applyFont="1" applyBorder="1"/>
    <xf numFmtId="0" fontId="0" fillId="33" borderId="0" xfId="0" applyFill="1"/>
    <xf numFmtId="0" fontId="16" fillId="0" borderId="28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/>
    <xf numFmtId="0" fontId="0" fillId="0" borderId="18" xfId="0" applyBorder="1"/>
    <xf numFmtId="0" fontId="16" fillId="0" borderId="27" xfId="0" applyFont="1" applyBorder="1"/>
    <xf numFmtId="0" fontId="16" fillId="0" borderId="19" xfId="0" applyFont="1" applyBorder="1" applyAlignment="1">
      <alignment horizontal="center"/>
    </xf>
    <xf numFmtId="165" fontId="16" fillId="0" borderId="27" xfId="0" applyNumberFormat="1" applyFont="1" applyBorder="1"/>
    <xf numFmtId="0" fontId="20" fillId="0" borderId="23" xfId="0" applyFont="1" applyBorder="1"/>
    <xf numFmtId="0" fontId="21" fillId="0" borderId="27" xfId="0" applyFont="1" applyBorder="1"/>
    <xf numFmtId="0" fontId="16" fillId="0" borderId="29" xfId="0" applyFont="1" applyBorder="1"/>
    <xf numFmtId="0" fontId="23" fillId="0" borderId="0" xfId="0" applyFont="1" applyAlignment="1">
      <alignment horizont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pivotButton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[retail_sales_dataset_Max.xlsx]byCategoryAndGender!PivotTable1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Percentage by Category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byCategoryAndGender!$B$3:$B$4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byCategoryAndGender!$A$5:$A$7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byCategoryAndGender!$B$5:$B$7</c:f>
              <c:numCache>
                <c:formatCode>0.00%</c:formatCode>
                <c:ptCount val="2"/>
                <c:pt idx="0">
                  <c:v>0.16410087719298247</c:v>
                </c:pt>
                <c:pt idx="1">
                  <c:v>0.15062500000000001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0-4FCE-8A61-23F504EB7DA8}"/>
            </c:ext>
          </c:extLst>
        </c:ser>
        <c:ser>
          <c:idx val="1"/>
          <c:order val="1"/>
          <c:tx>
            <c:strRef>
              <c:f>byCategoryAndGender!$C$3:$C$4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byCategoryAndGender!$A$5:$A$7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byCategoryAndGender!$C$5:$C$7</c:f>
              <c:numCache>
                <c:formatCode>0.00%</c:formatCode>
                <c:ptCount val="2"/>
                <c:pt idx="0">
                  <c:v>0.17823464912280701</c:v>
                </c:pt>
                <c:pt idx="1">
                  <c:v>0.16294956140350877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80-4FCE-8A61-23F504EB7DA8}"/>
            </c:ext>
          </c:extLst>
        </c:ser>
        <c:ser>
          <c:idx val="2"/>
          <c:order val="2"/>
          <c:tx>
            <c:strRef>
              <c:f>byCategoryAndGender!$D$3:$D$4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byCategoryAndGender!$A$5:$A$7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byCategoryAndGender!$D$5:$D$7</c:f>
              <c:numCache>
                <c:formatCode>0.00%</c:formatCode>
                <c:ptCount val="2"/>
                <c:pt idx="0">
                  <c:v>0.16827850877192982</c:v>
                </c:pt>
                <c:pt idx="1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080-4FCE-8A61-23F504EB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827783"/>
        <c:axId val="447496199"/>
      </c:barChart>
      <c:catAx>
        <c:axId val="1226827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96199"/>
        <c:crosses val="autoZero"/>
        <c:auto val="1"/>
        <c:lblAlgn val="ctr"/>
        <c:lblOffset val="100"/>
        <c:noMultiLvlLbl val="0"/>
      </c:catAx>
      <c:valAx>
        <c:axId val="447496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82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[retail_sales_dataset_Max.xlsx]byCategoryAndGeneration!PivotTable2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byCategoryAndGeneration!$B$3:$B$4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byCategoryAndGeneration!$A$5:$A$8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byCategoryAndGeneration!$B$5:$B$8</c:f>
              <c:numCache>
                <c:formatCode>_-[$£-809]* #,##0_-;\-[$£-809]* #,##0_-;_-[$£-809]* "-"??_-;_-@_-</c:formatCode>
                <c:ptCount val="3"/>
                <c:pt idx="0">
                  <c:v>68030</c:v>
                </c:pt>
                <c:pt idx="1">
                  <c:v>62360</c:v>
                </c:pt>
                <c:pt idx="2">
                  <c:v>59300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C-47C2-BC81-3AF137D12995}"/>
            </c:ext>
          </c:extLst>
        </c:ser>
        <c:ser>
          <c:idx val="1"/>
          <c:order val="1"/>
          <c:tx>
            <c:strRef>
              <c:f>byCategoryAndGeneration!$C$3:$C$4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byCategoryAndGeneration!$A$5:$A$8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byCategoryAndGeneration!$C$5:$C$8</c:f>
              <c:numCache>
                <c:formatCode>_-[$£-809]* #,##0_-;\-[$£-809]* #,##0_-;_-[$£-809]* "-"??_-;_-@_-</c:formatCode>
                <c:ptCount val="3"/>
                <c:pt idx="0">
                  <c:v>34085</c:v>
                </c:pt>
                <c:pt idx="1">
                  <c:v>47070</c:v>
                </c:pt>
                <c:pt idx="2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C-47C2-BC81-3AF137D12995}"/>
            </c:ext>
          </c:extLst>
        </c:ser>
        <c:ser>
          <c:idx val="2"/>
          <c:order val="2"/>
          <c:tx>
            <c:strRef>
              <c:f>byCategoryAndGeneration!$D$3:$D$4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byCategoryAndGeneration!$A$5:$A$8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byCategoryAndGeneration!$D$5:$D$8</c:f>
              <c:numCache>
                <c:formatCode>_-[$£-809]* #,##0_-;\-[$£-809]* #,##0_-;_-[$£-809]* "-"??_-;_-@_-</c:formatCode>
                <c:ptCount val="3"/>
                <c:pt idx="0">
                  <c:v>41400</c:v>
                </c:pt>
                <c:pt idx="1">
                  <c:v>46150</c:v>
                </c:pt>
                <c:pt idx="2">
                  <c:v>35605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CC-47C2-BC81-3AF137D12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2741127"/>
        <c:axId val="1224483848"/>
      </c:barChart>
      <c:catAx>
        <c:axId val="652741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483848"/>
        <c:crosses val="autoZero"/>
        <c:auto val="1"/>
        <c:lblAlgn val="ctr"/>
        <c:lblOffset val="100"/>
        <c:noMultiLvlLbl val="0"/>
      </c:catAx>
      <c:valAx>
        <c:axId val="122448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_-;\-[$£-809]* #,##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4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8</xdr:col>
      <xdr:colOff>323850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A7EF2-D9D7-2C69-43E3-7A2D993E7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0</xdr:row>
      <xdr:rowOff>152400</xdr:rowOff>
    </xdr:from>
    <xdr:to>
      <xdr:col>15</xdr:col>
      <xdr:colOff>495300</xdr:colOff>
      <xdr:row>21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484DB-31E1-1B94-25FC-CA54C142C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9</xdr:row>
      <xdr:rowOff>0</xdr:rowOff>
    </xdr:from>
    <xdr:to>
      <xdr:col>1</xdr:col>
      <xdr:colOff>495300</xdr:colOff>
      <xdr:row>22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22F81B2C-5D60-234A-7E22-96937C9A9826}"/>
                </a:ext>
                <a:ext uri="{147F2762-F138-4A5C-976F-8EAC2B608ADB}">
                  <a16:predDERef xmlns:a16="http://schemas.microsoft.com/office/drawing/2014/main" pred="{5FC484DB-31E1-1B94-25FC-CA54C142C1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" y="1800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571500</xdr:colOff>
      <xdr:row>9</xdr:row>
      <xdr:rowOff>9525</xdr:rowOff>
    </xdr:from>
    <xdr:to>
      <xdr:col>3</xdr:col>
      <xdr:colOff>666750</xdr:colOff>
      <xdr:row>22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F485F62F-294C-6137-03C4-DAB79962A1E5}"/>
                </a:ext>
                <a:ext uri="{147F2762-F138-4A5C-976F-8EAC2B608ADB}">
                  <a16:predDERef xmlns:a16="http://schemas.microsoft.com/office/drawing/2014/main" pred="{22F81B2C-5D60-234A-7E22-96937C9A98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1675" y="1809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723900</xdr:colOff>
      <xdr:row>9</xdr:row>
      <xdr:rowOff>0</xdr:rowOff>
    </xdr:from>
    <xdr:to>
      <xdr:col>6</xdr:col>
      <xdr:colOff>57150</xdr:colOff>
      <xdr:row>22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69DC7D6F-B76D-B16B-3447-0245FDFDC602}"/>
                </a:ext>
                <a:ext uri="{147F2762-F138-4A5C-976F-8EAC2B608ADB}">
                  <a16:predDERef xmlns:a16="http://schemas.microsoft.com/office/drawing/2014/main" pred="{F485F62F-294C-6137-03C4-DAB79962A1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7625" y="1800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8.413158796298" createdVersion="8" refreshedVersion="8" minRefreshableVersion="3" recordCount="1000" xr:uid="{FE80170E-4121-4C2B-B7BC-16CED5BF0C9B}">
  <cacheSource type="worksheet">
    <worksheetSource ref="A1:R1001" sheet="retail_sales_dataset"/>
  </cacheSource>
  <cacheFields count="18">
    <cacheField name="Transaction ID" numFmtId="0">
      <sharedItems containsSemiMixedTypes="0" containsString="0" containsNumber="1" containsInteger="1" minValue="1" maxValue="1000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nth" numFmtId="0">
      <sharedItems containsSemiMixedTypes="0" containsString="0" containsNumber="1" containsInteger="1" minValue="1" maxValue="12"/>
    </cacheField>
    <cacheField name="Day" numFmtId="0">
      <sharedItems containsSemiMixedTypes="0" containsString="0" containsNumber="1" containsInteger="1" minValue="1" maxValue="31"/>
    </cacheField>
    <cacheField name="Day Name" numFmtId="0">
      <sharedItems/>
    </cacheField>
    <cacheField name="Month Name" numFmtId="0">
      <sharedItems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6">
      <sharedItems containsSemiMixedTypes="0" containsString="0" containsNumber="1" containsInteger="1" minValue="25" maxValue="500"/>
    </cacheField>
    <cacheField name="Total Sales" numFmtId="166">
      <sharedItems containsSemiMixedTypes="0" containsString="0" containsNumber="1" containsInteger="1" minValue="25" maxValue="2000"/>
    </cacheField>
    <cacheField name="Commission 2023" numFmtId="165">
      <sharedItems containsSemiMixedTypes="0" containsString="0" containsNumber="1" minValue="0.375" maxValue="30"/>
    </cacheField>
    <cacheField name="Commission 2024" numFmtId="165">
      <sharedItems containsSemiMixedTypes="0" containsString="0" containsNumber="1" minValue="0.5" maxValue="40"/>
    </cacheField>
    <cacheField name="Commission by Year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2083559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n v="11"/>
    <n v="24"/>
    <s v="Friday"/>
    <s v="November"/>
    <x v="0"/>
    <s v="CUST001"/>
    <x v="0"/>
    <x v="0"/>
    <n v="34"/>
    <x v="0"/>
    <n v="3"/>
    <n v="50"/>
    <n v="150"/>
    <n v="2.25"/>
    <n v="3"/>
    <n v="2.25"/>
  </r>
  <r>
    <n v="2"/>
    <x v="0"/>
    <n v="2"/>
    <n v="27"/>
    <s v="Monday"/>
    <s v="February"/>
    <x v="1"/>
    <s v="CUST002"/>
    <x v="1"/>
    <x v="1"/>
    <n v="26"/>
    <x v="1"/>
    <n v="2"/>
    <n v="500"/>
    <n v="1000"/>
    <n v="15"/>
    <n v="20"/>
    <n v="15"/>
  </r>
  <r>
    <n v="3"/>
    <x v="0"/>
    <n v="1"/>
    <n v="13"/>
    <s v="Friday"/>
    <s v="January"/>
    <x v="2"/>
    <s v="CUST003"/>
    <x v="0"/>
    <x v="2"/>
    <n v="50"/>
    <x v="2"/>
    <n v="1"/>
    <n v="30"/>
    <n v="30"/>
    <n v="0.44999999999999996"/>
    <n v="0.6"/>
    <n v="0.44999999999999996"/>
  </r>
  <r>
    <n v="4"/>
    <x v="0"/>
    <n v="5"/>
    <n v="21"/>
    <s v="Sunday"/>
    <s v="May"/>
    <x v="3"/>
    <s v="CUST004"/>
    <x v="0"/>
    <x v="0"/>
    <n v="37"/>
    <x v="1"/>
    <n v="1"/>
    <n v="500"/>
    <n v="500"/>
    <n v="7.5"/>
    <n v="10"/>
    <n v="7.5"/>
  </r>
  <r>
    <n v="5"/>
    <x v="0"/>
    <n v="5"/>
    <n v="6"/>
    <s v="Saturday"/>
    <s v="May"/>
    <x v="4"/>
    <s v="CUST005"/>
    <x v="0"/>
    <x v="0"/>
    <n v="30"/>
    <x v="0"/>
    <n v="2"/>
    <n v="50"/>
    <n v="100"/>
    <n v="1.5"/>
    <n v="2"/>
    <n v="1.5"/>
  </r>
  <r>
    <n v="6"/>
    <x v="0"/>
    <n v="4"/>
    <n v="25"/>
    <s v="Tuesday"/>
    <s v="April"/>
    <x v="5"/>
    <s v="CUST006"/>
    <x v="1"/>
    <x v="0"/>
    <n v="45"/>
    <x v="0"/>
    <n v="1"/>
    <n v="30"/>
    <n v="30"/>
    <n v="0.44999999999999996"/>
    <n v="0.6"/>
    <n v="0.44999999999999996"/>
  </r>
  <r>
    <n v="7"/>
    <x v="0"/>
    <n v="3"/>
    <n v="13"/>
    <s v="Monday"/>
    <s v="March"/>
    <x v="6"/>
    <s v="CUST007"/>
    <x v="0"/>
    <x v="0"/>
    <n v="46"/>
    <x v="1"/>
    <n v="2"/>
    <n v="25"/>
    <n v="50"/>
    <n v="0.75"/>
    <n v="1"/>
    <n v="0.75"/>
  </r>
  <r>
    <n v="8"/>
    <x v="0"/>
    <n v="2"/>
    <n v="22"/>
    <s v="Wednesday"/>
    <s v="February"/>
    <x v="7"/>
    <s v="CUST008"/>
    <x v="0"/>
    <x v="0"/>
    <n v="30"/>
    <x v="2"/>
    <n v="4"/>
    <n v="25"/>
    <n v="100"/>
    <n v="1.5"/>
    <n v="2"/>
    <n v="1.5"/>
  </r>
  <r>
    <n v="9"/>
    <x v="0"/>
    <n v="12"/>
    <n v="13"/>
    <s v="Wednesday"/>
    <s v="December"/>
    <x v="8"/>
    <s v="CUST009"/>
    <x v="0"/>
    <x v="2"/>
    <n v="63"/>
    <x v="2"/>
    <n v="2"/>
    <n v="300"/>
    <n v="600"/>
    <n v="9"/>
    <n v="12"/>
    <n v="9"/>
  </r>
  <r>
    <n v="10"/>
    <x v="0"/>
    <n v="10"/>
    <n v="7"/>
    <s v="Saturday"/>
    <s v="October"/>
    <x v="9"/>
    <s v="CUST010"/>
    <x v="1"/>
    <x v="2"/>
    <n v="52"/>
    <x v="1"/>
    <n v="4"/>
    <n v="50"/>
    <n v="200"/>
    <n v="3"/>
    <n v="4"/>
    <n v="3"/>
  </r>
  <r>
    <n v="11"/>
    <x v="0"/>
    <n v="2"/>
    <n v="14"/>
    <s v="Tuesday"/>
    <s v="February"/>
    <x v="10"/>
    <s v="CUST011"/>
    <x v="0"/>
    <x v="1"/>
    <n v="23"/>
    <x v="1"/>
    <n v="2"/>
    <n v="50"/>
    <n v="100"/>
    <n v="1.5"/>
    <n v="2"/>
    <n v="1.5"/>
  </r>
  <r>
    <n v="12"/>
    <x v="0"/>
    <n v="10"/>
    <n v="30"/>
    <s v="Monday"/>
    <s v="October"/>
    <x v="11"/>
    <s v="CUST012"/>
    <x v="0"/>
    <x v="0"/>
    <n v="35"/>
    <x v="0"/>
    <n v="3"/>
    <n v="25"/>
    <n v="75"/>
    <n v="1.125"/>
    <n v="1.5"/>
    <n v="1.125"/>
  </r>
  <r>
    <n v="13"/>
    <x v="0"/>
    <n v="8"/>
    <n v="5"/>
    <s v="Saturday"/>
    <s v="August"/>
    <x v="12"/>
    <s v="CUST013"/>
    <x v="0"/>
    <x v="1"/>
    <n v="22"/>
    <x v="2"/>
    <n v="3"/>
    <n v="500"/>
    <n v="1500"/>
    <n v="22.5"/>
    <n v="30"/>
    <n v="22.5"/>
  </r>
  <r>
    <n v="14"/>
    <x v="0"/>
    <n v="1"/>
    <n v="17"/>
    <s v="Tuesday"/>
    <s v="January"/>
    <x v="13"/>
    <s v="CUST014"/>
    <x v="0"/>
    <x v="2"/>
    <n v="64"/>
    <x v="1"/>
    <n v="4"/>
    <n v="30"/>
    <n v="120"/>
    <n v="1.7999999999999998"/>
    <n v="2.4"/>
    <n v="1.7999999999999998"/>
  </r>
  <r>
    <n v="15"/>
    <x v="0"/>
    <n v="1"/>
    <n v="16"/>
    <s v="Monday"/>
    <s v="January"/>
    <x v="14"/>
    <s v="CUST015"/>
    <x v="1"/>
    <x v="0"/>
    <n v="42"/>
    <x v="2"/>
    <n v="4"/>
    <n v="500"/>
    <n v="2000"/>
    <n v="30"/>
    <n v="40"/>
    <n v="30"/>
  </r>
  <r>
    <n v="16"/>
    <x v="0"/>
    <n v="2"/>
    <n v="17"/>
    <s v="Friday"/>
    <s v="February"/>
    <x v="15"/>
    <s v="CUST016"/>
    <x v="0"/>
    <x v="1"/>
    <n v="19"/>
    <x v="1"/>
    <n v="3"/>
    <n v="500"/>
    <n v="1500"/>
    <n v="22.5"/>
    <n v="30"/>
    <n v="22.5"/>
  </r>
  <r>
    <n v="17"/>
    <x v="0"/>
    <n v="4"/>
    <n v="22"/>
    <s v="Saturday"/>
    <s v="April"/>
    <x v="16"/>
    <s v="CUST017"/>
    <x v="1"/>
    <x v="1"/>
    <n v="27"/>
    <x v="1"/>
    <n v="4"/>
    <n v="25"/>
    <n v="100"/>
    <n v="1.5"/>
    <n v="2"/>
    <n v="1.5"/>
  </r>
  <r>
    <n v="18"/>
    <x v="0"/>
    <n v="4"/>
    <n v="30"/>
    <s v="Sunday"/>
    <s v="April"/>
    <x v="17"/>
    <s v="CUST018"/>
    <x v="1"/>
    <x v="0"/>
    <n v="47"/>
    <x v="2"/>
    <n v="2"/>
    <n v="25"/>
    <n v="50"/>
    <n v="0.75"/>
    <n v="1"/>
    <n v="0.75"/>
  </r>
  <r>
    <n v="19"/>
    <x v="0"/>
    <n v="9"/>
    <n v="16"/>
    <s v="Saturday"/>
    <s v="September"/>
    <x v="18"/>
    <s v="CUST019"/>
    <x v="1"/>
    <x v="2"/>
    <n v="62"/>
    <x v="1"/>
    <n v="2"/>
    <n v="25"/>
    <n v="50"/>
    <n v="0.75"/>
    <n v="1"/>
    <n v="0.75"/>
  </r>
  <r>
    <n v="20"/>
    <x v="0"/>
    <n v="11"/>
    <n v="5"/>
    <s v="Sunday"/>
    <s v="November"/>
    <x v="19"/>
    <s v="CUST020"/>
    <x v="0"/>
    <x v="1"/>
    <n v="22"/>
    <x v="1"/>
    <n v="3"/>
    <n v="300"/>
    <n v="900"/>
    <n v="13.5"/>
    <n v="18"/>
    <n v="13.5"/>
  </r>
  <r>
    <n v="21"/>
    <x v="0"/>
    <n v="1"/>
    <n v="14"/>
    <s v="Saturday"/>
    <s v="January"/>
    <x v="20"/>
    <s v="CUST021"/>
    <x v="1"/>
    <x v="2"/>
    <n v="50"/>
    <x v="0"/>
    <n v="1"/>
    <n v="500"/>
    <n v="500"/>
    <n v="7.5"/>
    <n v="10"/>
    <n v="7.5"/>
  </r>
  <r>
    <n v="22"/>
    <x v="0"/>
    <n v="10"/>
    <n v="15"/>
    <s v="Sunday"/>
    <s v="October"/>
    <x v="21"/>
    <s v="CUST022"/>
    <x v="0"/>
    <x v="1"/>
    <n v="18"/>
    <x v="1"/>
    <n v="2"/>
    <n v="50"/>
    <n v="100"/>
    <n v="1.5"/>
    <n v="2"/>
    <n v="1.5"/>
  </r>
  <r>
    <n v="23"/>
    <x v="0"/>
    <n v="4"/>
    <n v="12"/>
    <s v="Wednesday"/>
    <s v="April"/>
    <x v="22"/>
    <s v="CUST023"/>
    <x v="1"/>
    <x v="0"/>
    <n v="35"/>
    <x v="1"/>
    <n v="4"/>
    <n v="30"/>
    <n v="120"/>
    <n v="1.7999999999999998"/>
    <n v="2.4"/>
    <n v="1.7999999999999998"/>
  </r>
  <r>
    <n v="24"/>
    <x v="0"/>
    <n v="11"/>
    <n v="29"/>
    <s v="Wednesday"/>
    <s v="November"/>
    <x v="23"/>
    <s v="CUST024"/>
    <x v="1"/>
    <x v="0"/>
    <n v="49"/>
    <x v="1"/>
    <n v="1"/>
    <n v="300"/>
    <n v="300"/>
    <n v="4.5"/>
    <n v="6"/>
    <n v="4.5"/>
  </r>
  <r>
    <n v="25"/>
    <x v="0"/>
    <n v="12"/>
    <n v="26"/>
    <s v="Tuesday"/>
    <s v="December"/>
    <x v="24"/>
    <s v="CUST025"/>
    <x v="1"/>
    <x v="2"/>
    <n v="64"/>
    <x v="0"/>
    <n v="1"/>
    <n v="50"/>
    <n v="50"/>
    <n v="0.75"/>
    <n v="1"/>
    <n v="0.75"/>
  </r>
  <r>
    <n v="26"/>
    <x v="0"/>
    <n v="10"/>
    <n v="7"/>
    <s v="Saturday"/>
    <s v="October"/>
    <x v="9"/>
    <s v="CUST026"/>
    <x v="1"/>
    <x v="1"/>
    <n v="28"/>
    <x v="2"/>
    <n v="2"/>
    <n v="500"/>
    <n v="1000"/>
    <n v="15"/>
    <n v="20"/>
    <n v="15"/>
  </r>
  <r>
    <n v="27"/>
    <x v="0"/>
    <n v="8"/>
    <n v="3"/>
    <s v="Thursday"/>
    <s v="August"/>
    <x v="25"/>
    <s v="CUST027"/>
    <x v="1"/>
    <x v="0"/>
    <n v="38"/>
    <x v="0"/>
    <n v="2"/>
    <n v="25"/>
    <n v="50"/>
    <n v="0.75"/>
    <n v="1"/>
    <n v="0.75"/>
  </r>
  <r>
    <n v="28"/>
    <x v="0"/>
    <n v="4"/>
    <n v="23"/>
    <s v="Sunday"/>
    <s v="April"/>
    <x v="26"/>
    <s v="CUST028"/>
    <x v="1"/>
    <x v="0"/>
    <n v="43"/>
    <x v="0"/>
    <n v="1"/>
    <n v="500"/>
    <n v="500"/>
    <n v="7.5"/>
    <n v="10"/>
    <n v="7.5"/>
  </r>
  <r>
    <n v="29"/>
    <x v="0"/>
    <n v="8"/>
    <n v="18"/>
    <s v="Friday"/>
    <s v="August"/>
    <x v="27"/>
    <s v="CUST029"/>
    <x v="1"/>
    <x v="0"/>
    <n v="42"/>
    <x v="2"/>
    <n v="1"/>
    <n v="30"/>
    <n v="30"/>
    <n v="0.44999999999999996"/>
    <n v="0.6"/>
    <n v="0.44999999999999996"/>
  </r>
  <r>
    <n v="30"/>
    <x v="0"/>
    <n v="10"/>
    <n v="29"/>
    <s v="Sunday"/>
    <s v="October"/>
    <x v="28"/>
    <s v="CUST030"/>
    <x v="1"/>
    <x v="0"/>
    <n v="39"/>
    <x v="0"/>
    <n v="3"/>
    <n v="300"/>
    <n v="900"/>
    <n v="13.5"/>
    <n v="18"/>
    <n v="13.5"/>
  </r>
  <r>
    <n v="31"/>
    <x v="0"/>
    <n v="5"/>
    <n v="23"/>
    <s v="Tuesday"/>
    <s v="May"/>
    <x v="29"/>
    <s v="CUST031"/>
    <x v="0"/>
    <x v="0"/>
    <n v="44"/>
    <x v="2"/>
    <n v="4"/>
    <n v="300"/>
    <n v="1200"/>
    <n v="18"/>
    <n v="24"/>
    <n v="18"/>
  </r>
  <r>
    <n v="32"/>
    <x v="0"/>
    <n v="1"/>
    <n v="4"/>
    <s v="Wednesday"/>
    <s v="January"/>
    <x v="30"/>
    <s v="CUST032"/>
    <x v="0"/>
    <x v="0"/>
    <n v="30"/>
    <x v="0"/>
    <n v="3"/>
    <n v="30"/>
    <n v="90"/>
    <n v="1.3499999999999999"/>
    <n v="1.8"/>
    <n v="1.3499999999999999"/>
  </r>
  <r>
    <n v="33"/>
    <x v="0"/>
    <n v="3"/>
    <n v="23"/>
    <s v="Thursday"/>
    <s v="March"/>
    <x v="31"/>
    <s v="CUST033"/>
    <x v="1"/>
    <x v="2"/>
    <n v="50"/>
    <x v="2"/>
    <n v="2"/>
    <n v="50"/>
    <n v="100"/>
    <n v="1.5"/>
    <n v="2"/>
    <n v="1.5"/>
  </r>
  <r>
    <n v="34"/>
    <x v="0"/>
    <n v="12"/>
    <n v="24"/>
    <s v="Sunday"/>
    <s v="December"/>
    <x v="32"/>
    <s v="CUST034"/>
    <x v="1"/>
    <x v="2"/>
    <n v="51"/>
    <x v="1"/>
    <n v="3"/>
    <n v="50"/>
    <n v="150"/>
    <n v="2.25"/>
    <n v="3"/>
    <n v="2.25"/>
  </r>
  <r>
    <n v="35"/>
    <x v="0"/>
    <n v="8"/>
    <n v="5"/>
    <s v="Saturday"/>
    <s v="August"/>
    <x v="12"/>
    <s v="CUST035"/>
    <x v="1"/>
    <x v="2"/>
    <n v="58"/>
    <x v="0"/>
    <n v="3"/>
    <n v="300"/>
    <n v="900"/>
    <n v="13.5"/>
    <n v="18"/>
    <n v="13.5"/>
  </r>
  <r>
    <n v="36"/>
    <x v="0"/>
    <n v="6"/>
    <n v="24"/>
    <s v="Saturday"/>
    <s v="June"/>
    <x v="33"/>
    <s v="CUST036"/>
    <x v="0"/>
    <x v="2"/>
    <n v="52"/>
    <x v="0"/>
    <n v="3"/>
    <n v="300"/>
    <n v="900"/>
    <n v="13.5"/>
    <n v="18"/>
    <n v="13.5"/>
  </r>
  <r>
    <n v="37"/>
    <x v="0"/>
    <n v="5"/>
    <n v="23"/>
    <s v="Tuesday"/>
    <s v="May"/>
    <x v="29"/>
    <s v="CUST037"/>
    <x v="1"/>
    <x v="1"/>
    <n v="18"/>
    <x v="0"/>
    <n v="3"/>
    <n v="25"/>
    <n v="75"/>
    <n v="1.125"/>
    <n v="1.5"/>
    <n v="1.125"/>
  </r>
  <r>
    <n v="38"/>
    <x v="0"/>
    <n v="3"/>
    <n v="21"/>
    <s v="Tuesday"/>
    <s v="March"/>
    <x v="34"/>
    <s v="CUST038"/>
    <x v="0"/>
    <x v="0"/>
    <n v="38"/>
    <x v="0"/>
    <n v="4"/>
    <n v="50"/>
    <n v="200"/>
    <n v="3"/>
    <n v="4"/>
    <n v="3"/>
  </r>
  <r>
    <n v="39"/>
    <x v="0"/>
    <n v="4"/>
    <n v="21"/>
    <s v="Friday"/>
    <s v="April"/>
    <x v="35"/>
    <s v="CUST039"/>
    <x v="0"/>
    <x v="1"/>
    <n v="23"/>
    <x v="1"/>
    <n v="4"/>
    <n v="30"/>
    <n v="120"/>
    <n v="1.7999999999999998"/>
    <n v="2.4"/>
    <n v="1.7999999999999998"/>
  </r>
  <r>
    <n v="40"/>
    <x v="0"/>
    <n v="6"/>
    <n v="22"/>
    <s v="Thursday"/>
    <s v="June"/>
    <x v="36"/>
    <s v="CUST040"/>
    <x v="0"/>
    <x v="0"/>
    <n v="45"/>
    <x v="0"/>
    <n v="1"/>
    <n v="50"/>
    <n v="50"/>
    <n v="0.75"/>
    <n v="1"/>
    <n v="0.75"/>
  </r>
  <r>
    <n v="41"/>
    <x v="0"/>
    <n v="2"/>
    <n v="22"/>
    <s v="Wednesday"/>
    <s v="February"/>
    <x v="7"/>
    <s v="CUST041"/>
    <x v="0"/>
    <x v="0"/>
    <n v="34"/>
    <x v="1"/>
    <n v="2"/>
    <n v="25"/>
    <n v="50"/>
    <n v="0.75"/>
    <n v="1"/>
    <n v="0.75"/>
  </r>
  <r>
    <n v="42"/>
    <x v="0"/>
    <n v="2"/>
    <n v="17"/>
    <s v="Friday"/>
    <s v="February"/>
    <x v="15"/>
    <s v="CUST042"/>
    <x v="0"/>
    <x v="1"/>
    <n v="22"/>
    <x v="1"/>
    <n v="3"/>
    <n v="300"/>
    <n v="900"/>
    <n v="13.5"/>
    <n v="18"/>
    <n v="13.5"/>
  </r>
  <r>
    <n v="43"/>
    <x v="0"/>
    <n v="7"/>
    <n v="14"/>
    <s v="Friday"/>
    <s v="July"/>
    <x v="37"/>
    <s v="CUST043"/>
    <x v="1"/>
    <x v="0"/>
    <n v="48"/>
    <x v="1"/>
    <n v="1"/>
    <n v="300"/>
    <n v="300"/>
    <n v="4.5"/>
    <n v="6"/>
    <n v="4.5"/>
  </r>
  <r>
    <n v="44"/>
    <x v="0"/>
    <n v="2"/>
    <n v="19"/>
    <s v="Sunday"/>
    <s v="February"/>
    <x v="38"/>
    <s v="CUST044"/>
    <x v="1"/>
    <x v="1"/>
    <n v="22"/>
    <x v="1"/>
    <n v="1"/>
    <n v="25"/>
    <n v="25"/>
    <n v="0.375"/>
    <n v="0.5"/>
    <n v="0.375"/>
  </r>
  <r>
    <n v="45"/>
    <x v="0"/>
    <n v="7"/>
    <n v="3"/>
    <s v="Monday"/>
    <s v="July"/>
    <x v="39"/>
    <s v="CUST045"/>
    <x v="1"/>
    <x v="2"/>
    <n v="55"/>
    <x v="2"/>
    <n v="1"/>
    <n v="30"/>
    <n v="30"/>
    <n v="0.44999999999999996"/>
    <n v="0.6"/>
    <n v="0.44999999999999996"/>
  </r>
  <r>
    <n v="46"/>
    <x v="0"/>
    <n v="6"/>
    <n v="26"/>
    <s v="Monday"/>
    <s v="June"/>
    <x v="40"/>
    <s v="CUST046"/>
    <x v="1"/>
    <x v="1"/>
    <n v="20"/>
    <x v="2"/>
    <n v="4"/>
    <n v="300"/>
    <n v="1200"/>
    <n v="18"/>
    <n v="24"/>
    <n v="18"/>
  </r>
  <r>
    <n v="47"/>
    <x v="0"/>
    <n v="11"/>
    <n v="6"/>
    <s v="Monday"/>
    <s v="November"/>
    <x v="41"/>
    <s v="CUST047"/>
    <x v="1"/>
    <x v="0"/>
    <n v="40"/>
    <x v="0"/>
    <n v="3"/>
    <n v="500"/>
    <n v="1500"/>
    <n v="22.5"/>
    <n v="30"/>
    <n v="22.5"/>
  </r>
  <r>
    <n v="48"/>
    <x v="0"/>
    <n v="5"/>
    <n v="16"/>
    <s v="Tuesday"/>
    <s v="May"/>
    <x v="42"/>
    <s v="CUST048"/>
    <x v="0"/>
    <x v="2"/>
    <n v="54"/>
    <x v="2"/>
    <n v="3"/>
    <n v="300"/>
    <n v="900"/>
    <n v="13.5"/>
    <n v="18"/>
    <n v="13.5"/>
  </r>
  <r>
    <n v="49"/>
    <x v="0"/>
    <n v="1"/>
    <n v="23"/>
    <s v="Monday"/>
    <s v="January"/>
    <x v="43"/>
    <s v="CUST049"/>
    <x v="1"/>
    <x v="2"/>
    <n v="54"/>
    <x v="2"/>
    <n v="2"/>
    <n v="500"/>
    <n v="1000"/>
    <n v="15"/>
    <n v="20"/>
    <n v="15"/>
  </r>
  <r>
    <n v="50"/>
    <x v="0"/>
    <n v="8"/>
    <n v="24"/>
    <s v="Thursday"/>
    <s v="August"/>
    <x v="44"/>
    <s v="CUST050"/>
    <x v="1"/>
    <x v="1"/>
    <n v="27"/>
    <x v="0"/>
    <n v="3"/>
    <n v="25"/>
    <n v="75"/>
    <n v="1.125"/>
    <n v="1.5"/>
    <n v="1.125"/>
  </r>
  <r>
    <n v="51"/>
    <x v="0"/>
    <n v="10"/>
    <n v="2"/>
    <s v="Monday"/>
    <s v="October"/>
    <x v="45"/>
    <s v="CUST051"/>
    <x v="0"/>
    <x v="1"/>
    <n v="27"/>
    <x v="0"/>
    <n v="3"/>
    <n v="25"/>
    <n v="75"/>
    <n v="1.125"/>
    <n v="1.5"/>
    <n v="1.125"/>
  </r>
  <r>
    <n v="52"/>
    <x v="0"/>
    <n v="3"/>
    <n v="5"/>
    <s v="Sunday"/>
    <s v="March"/>
    <x v="46"/>
    <s v="CUST052"/>
    <x v="1"/>
    <x v="0"/>
    <n v="36"/>
    <x v="0"/>
    <n v="1"/>
    <n v="300"/>
    <n v="300"/>
    <n v="4.5"/>
    <n v="6"/>
    <n v="4.5"/>
  </r>
  <r>
    <n v="53"/>
    <x v="0"/>
    <n v="7"/>
    <n v="13"/>
    <s v="Thursday"/>
    <s v="July"/>
    <x v="47"/>
    <s v="CUST053"/>
    <x v="0"/>
    <x v="0"/>
    <n v="34"/>
    <x v="2"/>
    <n v="2"/>
    <n v="50"/>
    <n v="100"/>
    <n v="1.5"/>
    <n v="2"/>
    <n v="1.5"/>
  </r>
  <r>
    <n v="54"/>
    <x v="0"/>
    <n v="2"/>
    <n v="10"/>
    <s v="Friday"/>
    <s v="February"/>
    <x v="48"/>
    <s v="CUST054"/>
    <x v="1"/>
    <x v="0"/>
    <n v="38"/>
    <x v="2"/>
    <n v="3"/>
    <n v="500"/>
    <n v="1500"/>
    <n v="22.5"/>
    <n v="30"/>
    <n v="22.5"/>
  </r>
  <r>
    <n v="55"/>
    <x v="0"/>
    <n v="10"/>
    <n v="10"/>
    <s v="Tuesday"/>
    <s v="October"/>
    <x v="49"/>
    <s v="CUST055"/>
    <x v="0"/>
    <x v="0"/>
    <n v="31"/>
    <x v="0"/>
    <n v="4"/>
    <n v="30"/>
    <n v="120"/>
    <n v="1.7999999999999998"/>
    <n v="2.4"/>
    <n v="1.7999999999999998"/>
  </r>
  <r>
    <n v="56"/>
    <x v="0"/>
    <n v="5"/>
    <n v="31"/>
    <s v="Wednesday"/>
    <s v="May"/>
    <x v="50"/>
    <s v="CUST056"/>
    <x v="1"/>
    <x v="1"/>
    <n v="26"/>
    <x v="1"/>
    <n v="3"/>
    <n v="300"/>
    <n v="900"/>
    <n v="13.5"/>
    <n v="18"/>
    <n v="13.5"/>
  </r>
  <r>
    <n v="57"/>
    <x v="0"/>
    <n v="11"/>
    <n v="18"/>
    <s v="Saturday"/>
    <s v="November"/>
    <x v="51"/>
    <s v="CUST057"/>
    <x v="1"/>
    <x v="2"/>
    <n v="63"/>
    <x v="0"/>
    <n v="1"/>
    <n v="30"/>
    <n v="30"/>
    <n v="0.44999999999999996"/>
    <n v="0.6"/>
    <n v="0.44999999999999996"/>
  </r>
  <r>
    <n v="58"/>
    <x v="0"/>
    <n v="11"/>
    <n v="13"/>
    <s v="Monday"/>
    <s v="November"/>
    <x v="52"/>
    <s v="CUST058"/>
    <x v="0"/>
    <x v="1"/>
    <n v="18"/>
    <x v="1"/>
    <n v="4"/>
    <n v="300"/>
    <n v="1200"/>
    <n v="18"/>
    <n v="24"/>
    <n v="18"/>
  </r>
  <r>
    <n v="59"/>
    <x v="0"/>
    <n v="7"/>
    <n v="5"/>
    <s v="Wednesday"/>
    <s v="July"/>
    <x v="53"/>
    <s v="CUST059"/>
    <x v="0"/>
    <x v="2"/>
    <n v="62"/>
    <x v="1"/>
    <n v="1"/>
    <n v="50"/>
    <n v="50"/>
    <n v="0.75"/>
    <n v="1"/>
    <n v="0.75"/>
  </r>
  <r>
    <n v="60"/>
    <x v="0"/>
    <n v="10"/>
    <n v="23"/>
    <s v="Monday"/>
    <s v="October"/>
    <x v="54"/>
    <s v="CUST060"/>
    <x v="0"/>
    <x v="0"/>
    <n v="30"/>
    <x v="0"/>
    <n v="3"/>
    <n v="50"/>
    <n v="150"/>
    <n v="2.25"/>
    <n v="3"/>
    <n v="2.25"/>
  </r>
  <r>
    <n v="61"/>
    <x v="0"/>
    <n v="4"/>
    <n v="9"/>
    <s v="Sunday"/>
    <s v="April"/>
    <x v="55"/>
    <s v="CUST061"/>
    <x v="0"/>
    <x v="1"/>
    <n v="21"/>
    <x v="0"/>
    <n v="4"/>
    <n v="50"/>
    <n v="200"/>
    <n v="3"/>
    <n v="4"/>
    <n v="3"/>
  </r>
  <r>
    <n v="62"/>
    <x v="0"/>
    <n v="12"/>
    <n v="27"/>
    <s v="Wednesday"/>
    <s v="December"/>
    <x v="56"/>
    <s v="CUST062"/>
    <x v="0"/>
    <x v="1"/>
    <n v="18"/>
    <x v="0"/>
    <n v="2"/>
    <n v="50"/>
    <n v="100"/>
    <n v="1.5"/>
    <n v="2"/>
    <n v="1.5"/>
  </r>
  <r>
    <n v="63"/>
    <x v="0"/>
    <n v="2"/>
    <n v="5"/>
    <s v="Sunday"/>
    <s v="February"/>
    <x v="57"/>
    <s v="CUST063"/>
    <x v="0"/>
    <x v="2"/>
    <n v="57"/>
    <x v="2"/>
    <n v="2"/>
    <n v="25"/>
    <n v="50"/>
    <n v="0.75"/>
    <n v="1"/>
    <n v="0.75"/>
  </r>
  <r>
    <n v="64"/>
    <x v="0"/>
    <n v="1"/>
    <n v="24"/>
    <s v="Tuesday"/>
    <s v="January"/>
    <x v="58"/>
    <s v="CUST064"/>
    <x v="0"/>
    <x v="0"/>
    <n v="49"/>
    <x v="1"/>
    <n v="4"/>
    <n v="25"/>
    <n v="100"/>
    <n v="1.5"/>
    <n v="2"/>
    <n v="1.5"/>
  </r>
  <r>
    <n v="65"/>
    <x v="0"/>
    <n v="12"/>
    <n v="5"/>
    <s v="Tuesday"/>
    <s v="December"/>
    <x v="59"/>
    <s v="CUST065"/>
    <x v="0"/>
    <x v="2"/>
    <n v="51"/>
    <x v="2"/>
    <n v="4"/>
    <n v="500"/>
    <n v="2000"/>
    <n v="30"/>
    <n v="40"/>
    <n v="30"/>
  </r>
  <r>
    <n v="66"/>
    <x v="0"/>
    <n v="4"/>
    <n v="27"/>
    <s v="Thursday"/>
    <s v="April"/>
    <x v="60"/>
    <s v="CUST066"/>
    <x v="1"/>
    <x v="0"/>
    <n v="45"/>
    <x v="2"/>
    <n v="1"/>
    <n v="30"/>
    <n v="30"/>
    <n v="0.44999999999999996"/>
    <n v="0.6"/>
    <n v="0.44999999999999996"/>
  </r>
  <r>
    <n v="67"/>
    <x v="0"/>
    <n v="5"/>
    <n v="29"/>
    <s v="Monday"/>
    <s v="May"/>
    <x v="61"/>
    <s v="CUST067"/>
    <x v="1"/>
    <x v="0"/>
    <n v="48"/>
    <x v="0"/>
    <n v="4"/>
    <n v="300"/>
    <n v="1200"/>
    <n v="18"/>
    <n v="24"/>
    <n v="18"/>
  </r>
  <r>
    <n v="68"/>
    <x v="0"/>
    <n v="2"/>
    <n v="10"/>
    <s v="Friday"/>
    <s v="February"/>
    <x v="48"/>
    <s v="CUST068"/>
    <x v="0"/>
    <x v="1"/>
    <n v="25"/>
    <x v="2"/>
    <n v="1"/>
    <n v="300"/>
    <n v="300"/>
    <n v="4.5"/>
    <n v="6"/>
    <n v="4.5"/>
  </r>
  <r>
    <n v="69"/>
    <x v="0"/>
    <n v="4"/>
    <n v="30"/>
    <s v="Sunday"/>
    <s v="April"/>
    <x v="17"/>
    <s v="CUST069"/>
    <x v="1"/>
    <x v="2"/>
    <n v="56"/>
    <x v="0"/>
    <n v="3"/>
    <n v="25"/>
    <n v="75"/>
    <n v="1.125"/>
    <n v="1.5"/>
    <n v="1.125"/>
  </r>
  <r>
    <n v="70"/>
    <x v="0"/>
    <n v="2"/>
    <n v="21"/>
    <s v="Tuesday"/>
    <s v="February"/>
    <x v="62"/>
    <s v="CUST070"/>
    <x v="1"/>
    <x v="0"/>
    <n v="43"/>
    <x v="1"/>
    <n v="1"/>
    <n v="300"/>
    <n v="300"/>
    <n v="4.5"/>
    <n v="6"/>
    <n v="4.5"/>
  </r>
  <r>
    <n v="71"/>
    <x v="0"/>
    <n v="7"/>
    <n v="14"/>
    <s v="Friday"/>
    <s v="July"/>
    <x v="37"/>
    <s v="CUST071"/>
    <x v="1"/>
    <x v="2"/>
    <n v="51"/>
    <x v="0"/>
    <n v="4"/>
    <n v="25"/>
    <n v="100"/>
    <n v="1.5"/>
    <n v="2"/>
    <n v="1.5"/>
  </r>
  <r>
    <n v="72"/>
    <x v="0"/>
    <n v="5"/>
    <n v="23"/>
    <s v="Tuesday"/>
    <s v="May"/>
    <x v="29"/>
    <s v="CUST072"/>
    <x v="1"/>
    <x v="1"/>
    <n v="20"/>
    <x v="2"/>
    <n v="4"/>
    <n v="500"/>
    <n v="2000"/>
    <n v="30"/>
    <n v="40"/>
    <n v="30"/>
  </r>
  <r>
    <n v="73"/>
    <x v="0"/>
    <n v="8"/>
    <n v="21"/>
    <s v="Monday"/>
    <s v="August"/>
    <x v="63"/>
    <s v="CUST073"/>
    <x v="0"/>
    <x v="1"/>
    <n v="29"/>
    <x v="2"/>
    <n v="3"/>
    <n v="30"/>
    <n v="90"/>
    <n v="1.3499999999999999"/>
    <n v="1.8"/>
    <n v="1.3499999999999999"/>
  </r>
  <r>
    <n v="74"/>
    <x v="0"/>
    <n v="11"/>
    <n v="22"/>
    <s v="Wednesday"/>
    <s v="November"/>
    <x v="64"/>
    <s v="CUST074"/>
    <x v="1"/>
    <x v="1"/>
    <n v="18"/>
    <x v="0"/>
    <n v="4"/>
    <n v="500"/>
    <n v="2000"/>
    <n v="30"/>
    <n v="40"/>
    <n v="30"/>
  </r>
  <r>
    <n v="75"/>
    <x v="0"/>
    <n v="7"/>
    <n v="6"/>
    <s v="Thursday"/>
    <s v="July"/>
    <x v="65"/>
    <s v="CUST075"/>
    <x v="0"/>
    <x v="2"/>
    <n v="61"/>
    <x v="0"/>
    <n v="4"/>
    <n v="50"/>
    <n v="200"/>
    <n v="3"/>
    <n v="4"/>
    <n v="3"/>
  </r>
  <r>
    <n v="76"/>
    <x v="0"/>
    <n v="3"/>
    <n v="25"/>
    <s v="Saturday"/>
    <s v="March"/>
    <x v="66"/>
    <s v="CUST076"/>
    <x v="1"/>
    <x v="1"/>
    <n v="22"/>
    <x v="2"/>
    <n v="2"/>
    <n v="50"/>
    <n v="100"/>
    <n v="1.5"/>
    <n v="2"/>
    <n v="1.5"/>
  </r>
  <r>
    <n v="77"/>
    <x v="0"/>
    <n v="7"/>
    <n v="9"/>
    <s v="Sunday"/>
    <s v="July"/>
    <x v="67"/>
    <s v="CUST077"/>
    <x v="1"/>
    <x v="0"/>
    <n v="47"/>
    <x v="1"/>
    <n v="2"/>
    <n v="50"/>
    <n v="100"/>
    <n v="1.5"/>
    <n v="2"/>
    <n v="1.5"/>
  </r>
  <r>
    <n v="78"/>
    <x v="0"/>
    <n v="7"/>
    <n v="1"/>
    <s v="Saturday"/>
    <s v="July"/>
    <x v="68"/>
    <s v="CUST078"/>
    <x v="1"/>
    <x v="0"/>
    <n v="47"/>
    <x v="1"/>
    <n v="3"/>
    <n v="500"/>
    <n v="1500"/>
    <n v="22.5"/>
    <n v="30"/>
    <n v="22.5"/>
  </r>
  <r>
    <n v="79"/>
    <x v="0"/>
    <n v="4"/>
    <n v="18"/>
    <s v="Tuesday"/>
    <s v="April"/>
    <x v="69"/>
    <s v="CUST079"/>
    <x v="0"/>
    <x v="0"/>
    <n v="34"/>
    <x v="0"/>
    <n v="1"/>
    <n v="300"/>
    <n v="300"/>
    <n v="4.5"/>
    <n v="6"/>
    <n v="4.5"/>
  </r>
  <r>
    <n v="80"/>
    <x v="0"/>
    <n v="12"/>
    <n v="10"/>
    <s v="Sunday"/>
    <s v="December"/>
    <x v="70"/>
    <s v="CUST080"/>
    <x v="1"/>
    <x v="2"/>
    <n v="64"/>
    <x v="1"/>
    <n v="2"/>
    <n v="30"/>
    <n v="60"/>
    <n v="0.89999999999999991"/>
    <n v="1.2"/>
    <n v="0.89999999999999991"/>
  </r>
  <r>
    <n v="81"/>
    <x v="0"/>
    <n v="5"/>
    <n v="17"/>
    <s v="Wednesday"/>
    <s v="May"/>
    <x v="71"/>
    <s v="CUST081"/>
    <x v="0"/>
    <x v="0"/>
    <n v="40"/>
    <x v="2"/>
    <n v="1"/>
    <n v="50"/>
    <n v="50"/>
    <n v="0.75"/>
    <n v="1"/>
    <n v="0.75"/>
  </r>
  <r>
    <n v="82"/>
    <x v="0"/>
    <n v="12"/>
    <n v="26"/>
    <s v="Tuesday"/>
    <s v="December"/>
    <x v="24"/>
    <s v="CUST082"/>
    <x v="1"/>
    <x v="0"/>
    <n v="32"/>
    <x v="0"/>
    <n v="4"/>
    <n v="50"/>
    <n v="200"/>
    <n v="3"/>
    <n v="4"/>
    <n v="3"/>
  </r>
  <r>
    <n v="83"/>
    <x v="0"/>
    <n v="12"/>
    <n v="16"/>
    <s v="Saturday"/>
    <s v="December"/>
    <x v="72"/>
    <s v="CUST083"/>
    <x v="0"/>
    <x v="2"/>
    <n v="54"/>
    <x v="2"/>
    <n v="2"/>
    <n v="50"/>
    <n v="100"/>
    <n v="1.5"/>
    <n v="2"/>
    <n v="1.5"/>
  </r>
  <r>
    <n v="84"/>
    <x v="0"/>
    <n v="11"/>
    <n v="28"/>
    <s v="Tuesday"/>
    <s v="November"/>
    <x v="73"/>
    <s v="CUST084"/>
    <x v="1"/>
    <x v="0"/>
    <n v="38"/>
    <x v="2"/>
    <n v="3"/>
    <n v="30"/>
    <n v="90"/>
    <n v="1.3499999999999999"/>
    <n v="1.8"/>
    <n v="1.3499999999999999"/>
  </r>
  <r>
    <n v="85"/>
    <x v="0"/>
    <n v="2"/>
    <n v="6"/>
    <s v="Monday"/>
    <s v="February"/>
    <x v="74"/>
    <s v="CUST085"/>
    <x v="0"/>
    <x v="0"/>
    <n v="31"/>
    <x v="1"/>
    <n v="3"/>
    <n v="50"/>
    <n v="150"/>
    <n v="2.25"/>
    <n v="3"/>
    <n v="2.25"/>
  </r>
  <r>
    <n v="86"/>
    <x v="0"/>
    <n v="11"/>
    <n v="8"/>
    <s v="Wednesday"/>
    <s v="November"/>
    <x v="75"/>
    <s v="CUST086"/>
    <x v="0"/>
    <x v="1"/>
    <n v="19"/>
    <x v="0"/>
    <n v="3"/>
    <n v="30"/>
    <n v="90"/>
    <n v="1.3499999999999999"/>
    <n v="1.8"/>
    <n v="1.3499999999999999"/>
  </r>
  <r>
    <n v="87"/>
    <x v="0"/>
    <n v="11"/>
    <n v="22"/>
    <s v="Wednesday"/>
    <s v="November"/>
    <x v="64"/>
    <s v="CUST087"/>
    <x v="1"/>
    <x v="1"/>
    <n v="28"/>
    <x v="0"/>
    <n v="2"/>
    <n v="50"/>
    <n v="100"/>
    <n v="1.5"/>
    <n v="2"/>
    <n v="1.5"/>
  </r>
  <r>
    <n v="88"/>
    <x v="0"/>
    <n v="3"/>
    <n v="29"/>
    <s v="Wednesday"/>
    <s v="March"/>
    <x v="76"/>
    <s v="CUST088"/>
    <x v="0"/>
    <x v="2"/>
    <n v="56"/>
    <x v="1"/>
    <n v="1"/>
    <n v="500"/>
    <n v="500"/>
    <n v="7.5"/>
    <n v="10"/>
    <n v="7.5"/>
  </r>
  <r>
    <n v="89"/>
    <x v="0"/>
    <n v="10"/>
    <n v="1"/>
    <s v="Sunday"/>
    <s v="October"/>
    <x v="77"/>
    <s v="CUST089"/>
    <x v="1"/>
    <x v="2"/>
    <n v="55"/>
    <x v="2"/>
    <n v="4"/>
    <n v="500"/>
    <n v="2000"/>
    <n v="30"/>
    <n v="40"/>
    <n v="30"/>
  </r>
  <r>
    <n v="90"/>
    <x v="0"/>
    <n v="5"/>
    <n v="6"/>
    <s v="Saturday"/>
    <s v="May"/>
    <x v="4"/>
    <s v="CUST090"/>
    <x v="1"/>
    <x v="2"/>
    <n v="51"/>
    <x v="2"/>
    <n v="1"/>
    <n v="30"/>
    <n v="30"/>
    <n v="0.44999999999999996"/>
    <n v="0.6"/>
    <n v="0.44999999999999996"/>
  </r>
  <r>
    <n v="91"/>
    <x v="0"/>
    <n v="3"/>
    <n v="25"/>
    <s v="Saturday"/>
    <s v="March"/>
    <x v="66"/>
    <s v="CUST091"/>
    <x v="1"/>
    <x v="2"/>
    <n v="55"/>
    <x v="2"/>
    <n v="1"/>
    <n v="500"/>
    <n v="500"/>
    <n v="7.5"/>
    <n v="10"/>
    <n v="7.5"/>
  </r>
  <r>
    <n v="92"/>
    <x v="0"/>
    <n v="8"/>
    <n v="25"/>
    <s v="Friday"/>
    <s v="August"/>
    <x v="78"/>
    <s v="CUST092"/>
    <x v="1"/>
    <x v="2"/>
    <n v="51"/>
    <x v="2"/>
    <n v="4"/>
    <n v="30"/>
    <n v="120"/>
    <n v="1.7999999999999998"/>
    <n v="2.4"/>
    <n v="1.7999999999999998"/>
  </r>
  <r>
    <n v="93"/>
    <x v="0"/>
    <n v="7"/>
    <n v="14"/>
    <s v="Friday"/>
    <s v="July"/>
    <x v="37"/>
    <s v="CUST093"/>
    <x v="1"/>
    <x v="0"/>
    <n v="35"/>
    <x v="0"/>
    <n v="4"/>
    <n v="500"/>
    <n v="2000"/>
    <n v="30"/>
    <n v="40"/>
    <n v="30"/>
  </r>
  <r>
    <n v="94"/>
    <x v="0"/>
    <n v="5"/>
    <n v="19"/>
    <s v="Friday"/>
    <s v="May"/>
    <x v="79"/>
    <s v="CUST094"/>
    <x v="1"/>
    <x v="0"/>
    <n v="47"/>
    <x v="0"/>
    <n v="2"/>
    <n v="500"/>
    <n v="1000"/>
    <n v="15"/>
    <n v="20"/>
    <n v="15"/>
  </r>
  <r>
    <n v="95"/>
    <x v="0"/>
    <n v="11"/>
    <n v="24"/>
    <s v="Friday"/>
    <s v="November"/>
    <x v="0"/>
    <s v="CUST095"/>
    <x v="1"/>
    <x v="0"/>
    <n v="32"/>
    <x v="1"/>
    <n v="2"/>
    <n v="30"/>
    <n v="60"/>
    <n v="0.89999999999999991"/>
    <n v="1.2"/>
    <n v="0.89999999999999991"/>
  </r>
  <r>
    <n v="96"/>
    <x v="0"/>
    <n v="12"/>
    <n v="19"/>
    <s v="Tuesday"/>
    <s v="December"/>
    <x v="80"/>
    <s v="CUST096"/>
    <x v="1"/>
    <x v="0"/>
    <n v="44"/>
    <x v="1"/>
    <n v="2"/>
    <n v="300"/>
    <n v="600"/>
    <n v="9"/>
    <n v="12"/>
    <n v="9"/>
  </r>
  <r>
    <n v="97"/>
    <x v="0"/>
    <n v="10"/>
    <n v="13"/>
    <s v="Friday"/>
    <s v="October"/>
    <x v="81"/>
    <s v="CUST097"/>
    <x v="1"/>
    <x v="2"/>
    <n v="51"/>
    <x v="0"/>
    <n v="2"/>
    <n v="500"/>
    <n v="1000"/>
    <n v="15"/>
    <n v="20"/>
    <n v="15"/>
  </r>
  <r>
    <n v="98"/>
    <x v="0"/>
    <n v="4"/>
    <n v="23"/>
    <s v="Sunday"/>
    <s v="April"/>
    <x v="26"/>
    <s v="CUST098"/>
    <x v="1"/>
    <x v="2"/>
    <n v="55"/>
    <x v="0"/>
    <n v="2"/>
    <n v="50"/>
    <n v="100"/>
    <n v="1.5"/>
    <n v="2"/>
    <n v="1.5"/>
  </r>
  <r>
    <n v="99"/>
    <x v="0"/>
    <n v="12"/>
    <n v="17"/>
    <s v="Sunday"/>
    <s v="December"/>
    <x v="82"/>
    <s v="CUST099"/>
    <x v="1"/>
    <x v="2"/>
    <n v="50"/>
    <x v="2"/>
    <n v="4"/>
    <n v="300"/>
    <n v="1200"/>
    <n v="18"/>
    <n v="24"/>
    <n v="18"/>
  </r>
  <r>
    <n v="100"/>
    <x v="0"/>
    <n v="6"/>
    <n v="16"/>
    <s v="Friday"/>
    <s v="June"/>
    <x v="83"/>
    <s v="CUST100"/>
    <x v="0"/>
    <x v="0"/>
    <n v="41"/>
    <x v="2"/>
    <n v="1"/>
    <n v="30"/>
    <n v="30"/>
    <n v="0.44999999999999996"/>
    <n v="0.6"/>
    <n v="0.44999999999999996"/>
  </r>
  <r>
    <n v="101"/>
    <x v="0"/>
    <n v="1"/>
    <n v="29"/>
    <s v="Sunday"/>
    <s v="January"/>
    <x v="84"/>
    <s v="CUST101"/>
    <x v="0"/>
    <x v="0"/>
    <n v="32"/>
    <x v="1"/>
    <n v="2"/>
    <n v="300"/>
    <n v="600"/>
    <n v="9"/>
    <n v="12"/>
    <n v="9"/>
  </r>
  <r>
    <n v="102"/>
    <x v="0"/>
    <n v="4"/>
    <n v="28"/>
    <s v="Friday"/>
    <s v="April"/>
    <x v="85"/>
    <s v="CUST102"/>
    <x v="1"/>
    <x v="0"/>
    <n v="47"/>
    <x v="0"/>
    <n v="2"/>
    <n v="25"/>
    <n v="50"/>
    <n v="0.75"/>
    <n v="1"/>
    <n v="0.75"/>
  </r>
  <r>
    <n v="103"/>
    <x v="0"/>
    <n v="1"/>
    <n v="17"/>
    <s v="Tuesday"/>
    <s v="January"/>
    <x v="13"/>
    <s v="CUST103"/>
    <x v="1"/>
    <x v="2"/>
    <n v="59"/>
    <x v="1"/>
    <n v="1"/>
    <n v="25"/>
    <n v="25"/>
    <n v="0.375"/>
    <n v="0.5"/>
    <n v="0.375"/>
  </r>
  <r>
    <n v="104"/>
    <x v="0"/>
    <n v="6"/>
    <n v="11"/>
    <s v="Sunday"/>
    <s v="June"/>
    <x v="86"/>
    <s v="CUST104"/>
    <x v="1"/>
    <x v="0"/>
    <n v="34"/>
    <x v="0"/>
    <n v="2"/>
    <n v="500"/>
    <n v="1000"/>
    <n v="15"/>
    <n v="20"/>
    <n v="15"/>
  </r>
  <r>
    <n v="105"/>
    <x v="0"/>
    <n v="7"/>
    <n v="25"/>
    <s v="Tuesday"/>
    <s v="July"/>
    <x v="87"/>
    <s v="CUST105"/>
    <x v="1"/>
    <x v="1"/>
    <n v="22"/>
    <x v="2"/>
    <n v="1"/>
    <n v="500"/>
    <n v="500"/>
    <n v="7.5"/>
    <n v="10"/>
    <n v="7.5"/>
  </r>
  <r>
    <n v="106"/>
    <x v="0"/>
    <n v="5"/>
    <n v="18"/>
    <s v="Thursday"/>
    <s v="May"/>
    <x v="88"/>
    <s v="CUST106"/>
    <x v="1"/>
    <x v="0"/>
    <n v="46"/>
    <x v="1"/>
    <n v="1"/>
    <n v="50"/>
    <n v="50"/>
    <n v="0.75"/>
    <n v="1"/>
    <n v="0.75"/>
  </r>
  <r>
    <n v="107"/>
    <x v="0"/>
    <n v="2"/>
    <n v="3"/>
    <s v="Friday"/>
    <s v="February"/>
    <x v="89"/>
    <s v="CUST107"/>
    <x v="1"/>
    <x v="1"/>
    <n v="21"/>
    <x v="1"/>
    <n v="4"/>
    <n v="300"/>
    <n v="1200"/>
    <n v="18"/>
    <n v="24"/>
    <n v="18"/>
  </r>
  <r>
    <n v="108"/>
    <x v="0"/>
    <n v="4"/>
    <n v="19"/>
    <s v="Wednesday"/>
    <s v="April"/>
    <x v="90"/>
    <s v="CUST108"/>
    <x v="1"/>
    <x v="1"/>
    <n v="27"/>
    <x v="0"/>
    <n v="3"/>
    <n v="25"/>
    <n v="75"/>
    <n v="1.125"/>
    <n v="1.5"/>
    <n v="1.125"/>
  </r>
  <r>
    <n v="109"/>
    <x v="0"/>
    <n v="10"/>
    <n v="18"/>
    <s v="Wednesday"/>
    <s v="October"/>
    <x v="91"/>
    <s v="CUST109"/>
    <x v="1"/>
    <x v="0"/>
    <n v="34"/>
    <x v="2"/>
    <n v="4"/>
    <n v="500"/>
    <n v="2000"/>
    <n v="30"/>
    <n v="40"/>
    <n v="30"/>
  </r>
  <r>
    <n v="110"/>
    <x v="0"/>
    <n v="6"/>
    <n v="11"/>
    <s v="Sunday"/>
    <s v="June"/>
    <x v="86"/>
    <s v="CUST110"/>
    <x v="0"/>
    <x v="1"/>
    <n v="27"/>
    <x v="1"/>
    <n v="3"/>
    <n v="300"/>
    <n v="900"/>
    <n v="13.5"/>
    <n v="18"/>
    <n v="13.5"/>
  </r>
  <r>
    <n v="111"/>
    <x v="0"/>
    <n v="4"/>
    <n v="19"/>
    <s v="Wednesday"/>
    <s v="April"/>
    <x v="90"/>
    <s v="CUST111"/>
    <x v="1"/>
    <x v="0"/>
    <n v="34"/>
    <x v="2"/>
    <n v="3"/>
    <n v="500"/>
    <n v="1500"/>
    <n v="22.5"/>
    <n v="30"/>
    <n v="22.5"/>
  </r>
  <r>
    <n v="112"/>
    <x v="0"/>
    <n v="12"/>
    <n v="2"/>
    <s v="Saturday"/>
    <s v="December"/>
    <x v="92"/>
    <s v="CUST112"/>
    <x v="0"/>
    <x v="0"/>
    <n v="37"/>
    <x v="1"/>
    <n v="3"/>
    <n v="500"/>
    <n v="1500"/>
    <n v="22.5"/>
    <n v="30"/>
    <n v="22.5"/>
  </r>
  <r>
    <n v="113"/>
    <x v="0"/>
    <n v="9"/>
    <n v="13"/>
    <s v="Wednesday"/>
    <s v="September"/>
    <x v="93"/>
    <s v="CUST113"/>
    <x v="1"/>
    <x v="0"/>
    <n v="41"/>
    <x v="2"/>
    <n v="2"/>
    <n v="25"/>
    <n v="50"/>
    <n v="0.75"/>
    <n v="1"/>
    <n v="0.75"/>
  </r>
  <r>
    <n v="114"/>
    <x v="0"/>
    <n v="7"/>
    <n v="22"/>
    <s v="Saturday"/>
    <s v="July"/>
    <x v="94"/>
    <s v="CUST114"/>
    <x v="1"/>
    <x v="1"/>
    <n v="22"/>
    <x v="0"/>
    <n v="4"/>
    <n v="25"/>
    <n v="100"/>
    <n v="1.5"/>
    <n v="2"/>
    <n v="1.5"/>
  </r>
  <r>
    <n v="115"/>
    <x v="0"/>
    <n v="11"/>
    <n v="26"/>
    <s v="Sunday"/>
    <s v="November"/>
    <x v="95"/>
    <s v="CUST115"/>
    <x v="0"/>
    <x v="2"/>
    <n v="51"/>
    <x v="1"/>
    <n v="3"/>
    <n v="500"/>
    <n v="1500"/>
    <n v="22.5"/>
    <n v="30"/>
    <n v="22.5"/>
  </r>
  <r>
    <n v="116"/>
    <x v="0"/>
    <n v="8"/>
    <n v="23"/>
    <s v="Wednesday"/>
    <s v="August"/>
    <x v="96"/>
    <s v="CUST116"/>
    <x v="1"/>
    <x v="1"/>
    <n v="23"/>
    <x v="1"/>
    <n v="1"/>
    <n v="30"/>
    <n v="30"/>
    <n v="0.44999999999999996"/>
    <n v="0.6"/>
    <n v="0.44999999999999996"/>
  </r>
  <r>
    <n v="117"/>
    <x v="0"/>
    <n v="3"/>
    <n v="15"/>
    <s v="Wednesday"/>
    <s v="March"/>
    <x v="97"/>
    <s v="CUST117"/>
    <x v="0"/>
    <x v="1"/>
    <n v="19"/>
    <x v="2"/>
    <n v="2"/>
    <n v="500"/>
    <n v="1000"/>
    <n v="15"/>
    <n v="20"/>
    <n v="15"/>
  </r>
  <r>
    <n v="118"/>
    <x v="0"/>
    <n v="5"/>
    <n v="16"/>
    <s v="Tuesday"/>
    <s v="May"/>
    <x v="42"/>
    <s v="CUST118"/>
    <x v="1"/>
    <x v="0"/>
    <n v="30"/>
    <x v="2"/>
    <n v="4"/>
    <n v="500"/>
    <n v="2000"/>
    <n v="30"/>
    <n v="40"/>
    <n v="30"/>
  </r>
  <r>
    <n v="119"/>
    <x v="0"/>
    <n v="3"/>
    <n v="13"/>
    <s v="Monday"/>
    <s v="March"/>
    <x v="6"/>
    <s v="CUST119"/>
    <x v="1"/>
    <x v="2"/>
    <n v="60"/>
    <x v="1"/>
    <n v="3"/>
    <n v="50"/>
    <n v="150"/>
    <n v="2.25"/>
    <n v="3"/>
    <n v="2.25"/>
  </r>
  <r>
    <n v="120"/>
    <x v="0"/>
    <n v="5"/>
    <n v="7"/>
    <s v="Sunday"/>
    <s v="May"/>
    <x v="98"/>
    <s v="CUST120"/>
    <x v="0"/>
    <x v="2"/>
    <n v="60"/>
    <x v="0"/>
    <n v="1"/>
    <n v="50"/>
    <n v="50"/>
    <n v="0.75"/>
    <n v="1"/>
    <n v="0.75"/>
  </r>
  <r>
    <n v="121"/>
    <x v="0"/>
    <n v="10"/>
    <n v="15"/>
    <s v="Sunday"/>
    <s v="October"/>
    <x v="21"/>
    <s v="CUST121"/>
    <x v="1"/>
    <x v="1"/>
    <n v="28"/>
    <x v="2"/>
    <n v="4"/>
    <n v="50"/>
    <n v="200"/>
    <n v="3"/>
    <n v="4"/>
    <n v="3"/>
  </r>
  <r>
    <n v="122"/>
    <x v="0"/>
    <n v="10"/>
    <n v="3"/>
    <s v="Tuesday"/>
    <s v="October"/>
    <x v="99"/>
    <s v="CUST122"/>
    <x v="0"/>
    <x v="2"/>
    <n v="64"/>
    <x v="2"/>
    <n v="4"/>
    <n v="30"/>
    <n v="120"/>
    <n v="1.7999999999999998"/>
    <n v="2.4"/>
    <n v="1.7999999999999998"/>
  </r>
  <r>
    <n v="123"/>
    <x v="0"/>
    <n v="5"/>
    <n v="15"/>
    <s v="Monday"/>
    <s v="May"/>
    <x v="100"/>
    <s v="CUST123"/>
    <x v="1"/>
    <x v="0"/>
    <n v="40"/>
    <x v="2"/>
    <n v="2"/>
    <n v="30"/>
    <n v="60"/>
    <n v="0.89999999999999991"/>
    <n v="1.2"/>
    <n v="0.89999999999999991"/>
  </r>
  <r>
    <n v="124"/>
    <x v="0"/>
    <n v="10"/>
    <n v="27"/>
    <s v="Friday"/>
    <s v="October"/>
    <x v="101"/>
    <s v="CUST124"/>
    <x v="0"/>
    <x v="0"/>
    <n v="33"/>
    <x v="1"/>
    <n v="4"/>
    <n v="500"/>
    <n v="2000"/>
    <n v="30"/>
    <n v="40"/>
    <n v="30"/>
  </r>
  <r>
    <n v="125"/>
    <x v="0"/>
    <n v="8"/>
    <n v="8"/>
    <s v="Tuesday"/>
    <s v="August"/>
    <x v="102"/>
    <s v="CUST125"/>
    <x v="0"/>
    <x v="0"/>
    <n v="48"/>
    <x v="1"/>
    <n v="2"/>
    <n v="50"/>
    <n v="100"/>
    <n v="1.5"/>
    <n v="2"/>
    <n v="1.5"/>
  </r>
  <r>
    <n v="126"/>
    <x v="0"/>
    <n v="10"/>
    <n v="26"/>
    <s v="Thursday"/>
    <s v="October"/>
    <x v="103"/>
    <s v="CUST126"/>
    <x v="1"/>
    <x v="1"/>
    <n v="28"/>
    <x v="1"/>
    <n v="3"/>
    <n v="30"/>
    <n v="90"/>
    <n v="1.3499999999999999"/>
    <n v="1.8"/>
    <n v="1.3499999999999999"/>
  </r>
  <r>
    <n v="127"/>
    <x v="0"/>
    <n v="7"/>
    <n v="24"/>
    <s v="Monday"/>
    <s v="July"/>
    <x v="104"/>
    <s v="CUST127"/>
    <x v="1"/>
    <x v="0"/>
    <n v="33"/>
    <x v="1"/>
    <n v="2"/>
    <n v="25"/>
    <n v="50"/>
    <n v="0.75"/>
    <n v="1"/>
    <n v="0.75"/>
  </r>
  <r>
    <n v="128"/>
    <x v="0"/>
    <n v="7"/>
    <n v="5"/>
    <s v="Wednesday"/>
    <s v="July"/>
    <x v="53"/>
    <s v="CUST128"/>
    <x v="0"/>
    <x v="1"/>
    <n v="25"/>
    <x v="0"/>
    <n v="1"/>
    <n v="500"/>
    <n v="500"/>
    <n v="7.5"/>
    <n v="10"/>
    <n v="7.5"/>
  </r>
  <r>
    <n v="129"/>
    <x v="0"/>
    <n v="4"/>
    <n v="23"/>
    <s v="Sunday"/>
    <s v="April"/>
    <x v="26"/>
    <s v="CUST129"/>
    <x v="1"/>
    <x v="1"/>
    <n v="21"/>
    <x v="0"/>
    <n v="2"/>
    <n v="300"/>
    <n v="600"/>
    <n v="9"/>
    <n v="12"/>
    <n v="9"/>
  </r>
  <r>
    <n v="130"/>
    <x v="0"/>
    <n v="3"/>
    <n v="12"/>
    <s v="Sunday"/>
    <s v="March"/>
    <x v="105"/>
    <s v="CUST130"/>
    <x v="1"/>
    <x v="2"/>
    <n v="57"/>
    <x v="1"/>
    <n v="1"/>
    <n v="500"/>
    <n v="500"/>
    <n v="7.5"/>
    <n v="10"/>
    <n v="7.5"/>
  </r>
  <r>
    <n v="131"/>
    <x v="0"/>
    <n v="9"/>
    <n v="18"/>
    <s v="Monday"/>
    <s v="September"/>
    <x v="106"/>
    <s v="CUST131"/>
    <x v="1"/>
    <x v="1"/>
    <n v="21"/>
    <x v="0"/>
    <n v="2"/>
    <n v="300"/>
    <n v="600"/>
    <n v="9"/>
    <n v="12"/>
    <n v="9"/>
  </r>
  <r>
    <n v="132"/>
    <x v="0"/>
    <n v="9"/>
    <n v="10"/>
    <s v="Sunday"/>
    <s v="September"/>
    <x v="107"/>
    <s v="CUST132"/>
    <x v="0"/>
    <x v="0"/>
    <n v="42"/>
    <x v="2"/>
    <n v="4"/>
    <n v="50"/>
    <n v="200"/>
    <n v="3"/>
    <n v="4"/>
    <n v="3"/>
  </r>
  <r>
    <n v="133"/>
    <x v="0"/>
    <n v="2"/>
    <n v="16"/>
    <s v="Thursday"/>
    <s v="February"/>
    <x v="108"/>
    <s v="CUST133"/>
    <x v="0"/>
    <x v="1"/>
    <n v="20"/>
    <x v="2"/>
    <n v="3"/>
    <n v="300"/>
    <n v="900"/>
    <n v="13.5"/>
    <n v="18"/>
    <n v="13.5"/>
  </r>
  <r>
    <n v="134"/>
    <x v="0"/>
    <n v="1"/>
    <n v="25"/>
    <s v="Wednesday"/>
    <s v="January"/>
    <x v="109"/>
    <s v="CUST134"/>
    <x v="0"/>
    <x v="0"/>
    <n v="49"/>
    <x v="2"/>
    <n v="1"/>
    <n v="50"/>
    <n v="50"/>
    <n v="0.75"/>
    <n v="1"/>
    <n v="0.75"/>
  </r>
  <r>
    <n v="135"/>
    <x v="0"/>
    <n v="2"/>
    <n v="26"/>
    <s v="Sunday"/>
    <s v="February"/>
    <x v="110"/>
    <s v="CUST135"/>
    <x v="0"/>
    <x v="1"/>
    <n v="20"/>
    <x v="1"/>
    <n v="2"/>
    <n v="25"/>
    <n v="50"/>
    <n v="0.75"/>
    <n v="1"/>
    <n v="0.75"/>
  </r>
  <r>
    <n v="136"/>
    <x v="0"/>
    <n v="3"/>
    <n v="20"/>
    <s v="Monday"/>
    <s v="March"/>
    <x v="111"/>
    <s v="CUST136"/>
    <x v="0"/>
    <x v="0"/>
    <n v="44"/>
    <x v="2"/>
    <n v="2"/>
    <n v="300"/>
    <n v="600"/>
    <n v="9"/>
    <n v="12"/>
    <n v="9"/>
  </r>
  <r>
    <n v="137"/>
    <x v="0"/>
    <n v="11"/>
    <n v="18"/>
    <s v="Saturday"/>
    <s v="November"/>
    <x v="51"/>
    <s v="CUST137"/>
    <x v="0"/>
    <x v="0"/>
    <n v="46"/>
    <x v="0"/>
    <n v="2"/>
    <n v="500"/>
    <n v="1000"/>
    <n v="15"/>
    <n v="20"/>
    <n v="15"/>
  </r>
  <r>
    <n v="138"/>
    <x v="0"/>
    <n v="3"/>
    <n v="23"/>
    <s v="Thursday"/>
    <s v="March"/>
    <x v="31"/>
    <s v="CUST138"/>
    <x v="0"/>
    <x v="0"/>
    <n v="49"/>
    <x v="1"/>
    <n v="4"/>
    <n v="50"/>
    <n v="200"/>
    <n v="3"/>
    <n v="4"/>
    <n v="3"/>
  </r>
  <r>
    <n v="139"/>
    <x v="0"/>
    <n v="12"/>
    <n v="15"/>
    <s v="Friday"/>
    <s v="December"/>
    <x v="112"/>
    <s v="CUST139"/>
    <x v="0"/>
    <x v="0"/>
    <n v="36"/>
    <x v="0"/>
    <n v="4"/>
    <n v="500"/>
    <n v="2000"/>
    <n v="30"/>
    <n v="40"/>
    <n v="30"/>
  </r>
  <r>
    <n v="140"/>
    <x v="0"/>
    <n v="8"/>
    <n v="5"/>
    <s v="Saturday"/>
    <s v="August"/>
    <x v="12"/>
    <s v="CUST140"/>
    <x v="0"/>
    <x v="0"/>
    <n v="38"/>
    <x v="2"/>
    <n v="1"/>
    <n v="30"/>
    <n v="30"/>
    <n v="0.44999999999999996"/>
    <n v="0.6"/>
    <n v="0.44999999999999996"/>
  </r>
  <r>
    <n v="141"/>
    <x v="0"/>
    <n v="11"/>
    <n v="2"/>
    <s v="Thursday"/>
    <s v="November"/>
    <x v="113"/>
    <s v="CUST141"/>
    <x v="1"/>
    <x v="1"/>
    <n v="22"/>
    <x v="2"/>
    <n v="1"/>
    <n v="50"/>
    <n v="50"/>
    <n v="0.75"/>
    <n v="1"/>
    <n v="0.75"/>
  </r>
  <r>
    <n v="142"/>
    <x v="0"/>
    <n v="2"/>
    <n v="2"/>
    <s v="Thursday"/>
    <s v="February"/>
    <x v="114"/>
    <s v="CUST142"/>
    <x v="0"/>
    <x v="0"/>
    <n v="35"/>
    <x v="2"/>
    <n v="4"/>
    <n v="300"/>
    <n v="1200"/>
    <n v="18"/>
    <n v="24"/>
    <n v="18"/>
  </r>
  <r>
    <n v="143"/>
    <x v="0"/>
    <n v="7"/>
    <n v="17"/>
    <s v="Monday"/>
    <s v="July"/>
    <x v="115"/>
    <s v="CUST143"/>
    <x v="1"/>
    <x v="0"/>
    <n v="45"/>
    <x v="1"/>
    <n v="1"/>
    <n v="50"/>
    <n v="50"/>
    <n v="0.75"/>
    <n v="1"/>
    <n v="0.75"/>
  </r>
  <r>
    <n v="144"/>
    <x v="0"/>
    <n v="7"/>
    <n v="15"/>
    <s v="Saturday"/>
    <s v="July"/>
    <x v="116"/>
    <s v="CUST144"/>
    <x v="1"/>
    <x v="2"/>
    <n v="59"/>
    <x v="0"/>
    <n v="3"/>
    <n v="500"/>
    <n v="1500"/>
    <n v="22.5"/>
    <n v="30"/>
    <n v="22.5"/>
  </r>
  <r>
    <n v="145"/>
    <x v="0"/>
    <n v="11"/>
    <n v="2"/>
    <s v="Thursday"/>
    <s v="November"/>
    <x v="113"/>
    <s v="CUST145"/>
    <x v="1"/>
    <x v="0"/>
    <n v="39"/>
    <x v="1"/>
    <n v="3"/>
    <n v="25"/>
    <n v="75"/>
    <n v="1.125"/>
    <n v="1.5"/>
    <n v="1.125"/>
  </r>
  <r>
    <n v="146"/>
    <x v="0"/>
    <n v="8"/>
    <n v="28"/>
    <s v="Monday"/>
    <s v="August"/>
    <x v="117"/>
    <s v="CUST146"/>
    <x v="0"/>
    <x v="0"/>
    <n v="38"/>
    <x v="1"/>
    <n v="4"/>
    <n v="50"/>
    <n v="200"/>
    <n v="3"/>
    <n v="4"/>
    <n v="3"/>
  </r>
  <r>
    <n v="147"/>
    <x v="0"/>
    <n v="9"/>
    <n v="28"/>
    <s v="Thursday"/>
    <s v="September"/>
    <x v="118"/>
    <s v="CUST147"/>
    <x v="0"/>
    <x v="1"/>
    <n v="23"/>
    <x v="2"/>
    <n v="1"/>
    <n v="300"/>
    <n v="300"/>
    <n v="4.5"/>
    <n v="6"/>
    <n v="4.5"/>
  </r>
  <r>
    <n v="148"/>
    <x v="0"/>
    <n v="5"/>
    <n v="9"/>
    <s v="Tuesday"/>
    <s v="May"/>
    <x v="119"/>
    <s v="CUST148"/>
    <x v="0"/>
    <x v="1"/>
    <n v="18"/>
    <x v="1"/>
    <n v="2"/>
    <n v="30"/>
    <n v="60"/>
    <n v="0.89999999999999991"/>
    <n v="1.2"/>
    <n v="0.89999999999999991"/>
  </r>
  <r>
    <n v="149"/>
    <x v="0"/>
    <n v="10"/>
    <n v="11"/>
    <s v="Wednesday"/>
    <s v="October"/>
    <x v="120"/>
    <s v="CUST149"/>
    <x v="0"/>
    <x v="1"/>
    <n v="22"/>
    <x v="1"/>
    <n v="3"/>
    <n v="25"/>
    <n v="75"/>
    <n v="1.125"/>
    <n v="1.5"/>
    <n v="1.125"/>
  </r>
  <r>
    <n v="150"/>
    <x v="0"/>
    <n v="1"/>
    <n v="6"/>
    <s v="Friday"/>
    <s v="January"/>
    <x v="121"/>
    <s v="CUST150"/>
    <x v="1"/>
    <x v="2"/>
    <n v="58"/>
    <x v="2"/>
    <n v="4"/>
    <n v="30"/>
    <n v="120"/>
    <n v="1.7999999999999998"/>
    <n v="2.4"/>
    <n v="1.7999999999999998"/>
  </r>
  <r>
    <n v="151"/>
    <x v="0"/>
    <n v="12"/>
    <n v="15"/>
    <s v="Friday"/>
    <s v="December"/>
    <x v="112"/>
    <s v="CUST151"/>
    <x v="0"/>
    <x v="1"/>
    <n v="29"/>
    <x v="1"/>
    <n v="1"/>
    <n v="50"/>
    <n v="50"/>
    <n v="0.75"/>
    <n v="1"/>
    <n v="0.75"/>
  </r>
  <r>
    <n v="152"/>
    <x v="0"/>
    <n v="2"/>
    <n v="28"/>
    <s v="Tuesday"/>
    <s v="February"/>
    <x v="122"/>
    <s v="CUST152"/>
    <x v="0"/>
    <x v="0"/>
    <n v="43"/>
    <x v="2"/>
    <n v="4"/>
    <n v="500"/>
    <n v="2000"/>
    <n v="30"/>
    <n v="40"/>
    <n v="30"/>
  </r>
  <r>
    <n v="153"/>
    <x v="0"/>
    <n v="12"/>
    <n v="16"/>
    <s v="Saturday"/>
    <s v="December"/>
    <x v="72"/>
    <s v="CUST153"/>
    <x v="0"/>
    <x v="2"/>
    <n v="63"/>
    <x v="2"/>
    <n v="2"/>
    <n v="500"/>
    <n v="1000"/>
    <n v="15"/>
    <n v="20"/>
    <n v="15"/>
  </r>
  <r>
    <n v="154"/>
    <x v="0"/>
    <n v="10"/>
    <n v="2"/>
    <s v="Monday"/>
    <s v="October"/>
    <x v="45"/>
    <s v="CUST154"/>
    <x v="0"/>
    <x v="2"/>
    <n v="51"/>
    <x v="2"/>
    <n v="3"/>
    <n v="300"/>
    <n v="900"/>
    <n v="13.5"/>
    <n v="18"/>
    <n v="13.5"/>
  </r>
  <r>
    <n v="155"/>
    <x v="0"/>
    <n v="5"/>
    <n v="17"/>
    <s v="Wednesday"/>
    <s v="May"/>
    <x v="71"/>
    <s v="CUST155"/>
    <x v="0"/>
    <x v="0"/>
    <n v="31"/>
    <x v="2"/>
    <n v="4"/>
    <n v="500"/>
    <n v="2000"/>
    <n v="30"/>
    <n v="40"/>
    <n v="30"/>
  </r>
  <r>
    <n v="156"/>
    <x v="0"/>
    <n v="11"/>
    <n v="25"/>
    <s v="Saturday"/>
    <s v="November"/>
    <x v="123"/>
    <s v="CUST156"/>
    <x v="1"/>
    <x v="0"/>
    <n v="43"/>
    <x v="1"/>
    <n v="4"/>
    <n v="25"/>
    <n v="100"/>
    <n v="1.5"/>
    <n v="2"/>
    <n v="1.5"/>
  </r>
  <r>
    <n v="157"/>
    <x v="0"/>
    <n v="6"/>
    <n v="24"/>
    <s v="Saturday"/>
    <s v="June"/>
    <x v="33"/>
    <s v="CUST157"/>
    <x v="0"/>
    <x v="2"/>
    <n v="62"/>
    <x v="2"/>
    <n v="4"/>
    <n v="500"/>
    <n v="2000"/>
    <n v="30"/>
    <n v="40"/>
    <n v="30"/>
  </r>
  <r>
    <n v="158"/>
    <x v="0"/>
    <n v="2"/>
    <n v="27"/>
    <s v="Monday"/>
    <s v="February"/>
    <x v="1"/>
    <s v="CUST158"/>
    <x v="1"/>
    <x v="0"/>
    <n v="44"/>
    <x v="2"/>
    <n v="2"/>
    <n v="300"/>
    <n v="600"/>
    <n v="9"/>
    <n v="12"/>
    <n v="9"/>
  </r>
  <r>
    <n v="159"/>
    <x v="0"/>
    <n v="5"/>
    <n v="31"/>
    <s v="Wednesday"/>
    <s v="May"/>
    <x v="50"/>
    <s v="CUST159"/>
    <x v="0"/>
    <x v="1"/>
    <n v="26"/>
    <x v="1"/>
    <n v="4"/>
    <n v="50"/>
    <n v="200"/>
    <n v="3"/>
    <n v="4"/>
    <n v="3"/>
  </r>
  <r>
    <n v="160"/>
    <x v="0"/>
    <n v="8"/>
    <n v="11"/>
    <s v="Friday"/>
    <s v="August"/>
    <x v="124"/>
    <s v="CUST160"/>
    <x v="1"/>
    <x v="0"/>
    <n v="43"/>
    <x v="1"/>
    <n v="2"/>
    <n v="50"/>
    <n v="100"/>
    <n v="1.5"/>
    <n v="2"/>
    <n v="1.5"/>
  </r>
  <r>
    <n v="161"/>
    <x v="0"/>
    <n v="3"/>
    <n v="22"/>
    <s v="Wednesday"/>
    <s v="March"/>
    <x v="125"/>
    <s v="CUST161"/>
    <x v="0"/>
    <x v="2"/>
    <n v="64"/>
    <x v="0"/>
    <n v="2"/>
    <n v="500"/>
    <n v="1000"/>
    <n v="15"/>
    <n v="20"/>
    <n v="15"/>
  </r>
  <r>
    <n v="162"/>
    <x v="0"/>
    <n v="8"/>
    <n v="21"/>
    <s v="Monday"/>
    <s v="August"/>
    <x v="63"/>
    <s v="CUST162"/>
    <x v="0"/>
    <x v="0"/>
    <n v="39"/>
    <x v="1"/>
    <n v="2"/>
    <n v="30"/>
    <n v="60"/>
    <n v="0.89999999999999991"/>
    <n v="1.2"/>
    <n v="0.89999999999999991"/>
  </r>
  <r>
    <n v="163"/>
    <x v="0"/>
    <n v="1"/>
    <n v="2"/>
    <s v="Monday"/>
    <s v="January"/>
    <x v="126"/>
    <s v="CUST163"/>
    <x v="1"/>
    <x v="2"/>
    <n v="64"/>
    <x v="1"/>
    <n v="3"/>
    <n v="50"/>
    <n v="150"/>
    <n v="2.25"/>
    <n v="3"/>
    <n v="2.25"/>
  </r>
  <r>
    <n v="164"/>
    <x v="0"/>
    <n v="5"/>
    <n v="15"/>
    <s v="Monday"/>
    <s v="May"/>
    <x v="100"/>
    <s v="CUST164"/>
    <x v="1"/>
    <x v="0"/>
    <n v="47"/>
    <x v="0"/>
    <n v="3"/>
    <n v="500"/>
    <n v="1500"/>
    <n v="22.5"/>
    <n v="30"/>
    <n v="22.5"/>
  </r>
  <r>
    <n v="165"/>
    <x v="0"/>
    <n v="9"/>
    <n v="14"/>
    <s v="Thursday"/>
    <s v="September"/>
    <x v="127"/>
    <s v="CUST165"/>
    <x v="1"/>
    <x v="2"/>
    <n v="60"/>
    <x v="1"/>
    <n v="4"/>
    <n v="300"/>
    <n v="1200"/>
    <n v="18"/>
    <n v="24"/>
    <n v="18"/>
  </r>
  <r>
    <n v="166"/>
    <x v="0"/>
    <n v="4"/>
    <n v="2"/>
    <s v="Sunday"/>
    <s v="April"/>
    <x v="128"/>
    <s v="CUST166"/>
    <x v="0"/>
    <x v="0"/>
    <n v="34"/>
    <x v="1"/>
    <n v="4"/>
    <n v="500"/>
    <n v="2000"/>
    <n v="30"/>
    <n v="40"/>
    <n v="30"/>
  </r>
  <r>
    <n v="167"/>
    <x v="0"/>
    <n v="9"/>
    <n v="17"/>
    <s v="Sunday"/>
    <s v="September"/>
    <x v="129"/>
    <s v="CUST167"/>
    <x v="1"/>
    <x v="0"/>
    <n v="43"/>
    <x v="1"/>
    <n v="3"/>
    <n v="50"/>
    <n v="150"/>
    <n v="2.25"/>
    <n v="3"/>
    <n v="2.25"/>
  </r>
  <r>
    <n v="168"/>
    <x v="0"/>
    <n v="2"/>
    <n v="24"/>
    <s v="Friday"/>
    <s v="February"/>
    <x v="130"/>
    <s v="CUST168"/>
    <x v="0"/>
    <x v="2"/>
    <n v="53"/>
    <x v="1"/>
    <n v="1"/>
    <n v="300"/>
    <n v="300"/>
    <n v="4.5"/>
    <n v="6"/>
    <n v="4.5"/>
  </r>
  <r>
    <n v="169"/>
    <x v="0"/>
    <n v="11"/>
    <n v="17"/>
    <s v="Friday"/>
    <s v="November"/>
    <x v="131"/>
    <s v="CUST169"/>
    <x v="0"/>
    <x v="1"/>
    <n v="18"/>
    <x v="0"/>
    <n v="3"/>
    <n v="500"/>
    <n v="1500"/>
    <n v="22.5"/>
    <n v="30"/>
    <n v="22.5"/>
  </r>
  <r>
    <n v="170"/>
    <x v="0"/>
    <n v="6"/>
    <n v="2"/>
    <s v="Friday"/>
    <s v="June"/>
    <x v="132"/>
    <s v="CUST170"/>
    <x v="1"/>
    <x v="1"/>
    <n v="25"/>
    <x v="1"/>
    <n v="2"/>
    <n v="25"/>
    <n v="50"/>
    <n v="0.75"/>
    <n v="1"/>
    <n v="0.75"/>
  </r>
  <r>
    <n v="171"/>
    <x v="0"/>
    <n v="11"/>
    <n v="24"/>
    <s v="Friday"/>
    <s v="November"/>
    <x v="0"/>
    <s v="CUST171"/>
    <x v="1"/>
    <x v="2"/>
    <n v="52"/>
    <x v="1"/>
    <n v="3"/>
    <n v="300"/>
    <n v="900"/>
    <n v="13.5"/>
    <n v="18"/>
    <n v="13.5"/>
  </r>
  <r>
    <n v="172"/>
    <x v="0"/>
    <n v="9"/>
    <n v="17"/>
    <s v="Sunday"/>
    <s v="September"/>
    <x v="129"/>
    <s v="CUST172"/>
    <x v="0"/>
    <x v="0"/>
    <n v="32"/>
    <x v="0"/>
    <n v="2"/>
    <n v="25"/>
    <n v="50"/>
    <n v="0.75"/>
    <n v="1"/>
    <n v="0.75"/>
  </r>
  <r>
    <n v="173"/>
    <x v="0"/>
    <n v="11"/>
    <n v="8"/>
    <s v="Wednesday"/>
    <s v="November"/>
    <x v="75"/>
    <s v="CUST173"/>
    <x v="0"/>
    <x v="2"/>
    <n v="64"/>
    <x v="2"/>
    <n v="4"/>
    <n v="30"/>
    <n v="120"/>
    <n v="1.7999999999999998"/>
    <n v="2.4"/>
    <n v="1.7999999999999998"/>
  </r>
  <r>
    <n v="174"/>
    <x v="0"/>
    <n v="4"/>
    <n v="12"/>
    <s v="Wednesday"/>
    <s v="April"/>
    <x v="22"/>
    <s v="CUST174"/>
    <x v="1"/>
    <x v="0"/>
    <n v="39"/>
    <x v="0"/>
    <n v="1"/>
    <n v="300"/>
    <n v="300"/>
    <n v="4.5"/>
    <n v="6"/>
    <n v="4.5"/>
  </r>
  <r>
    <n v="175"/>
    <x v="0"/>
    <n v="3"/>
    <n v="20"/>
    <s v="Monday"/>
    <s v="March"/>
    <x v="111"/>
    <s v="CUST175"/>
    <x v="1"/>
    <x v="0"/>
    <n v="31"/>
    <x v="2"/>
    <n v="4"/>
    <n v="25"/>
    <n v="100"/>
    <n v="1.5"/>
    <n v="2"/>
    <n v="1.5"/>
  </r>
  <r>
    <n v="176"/>
    <x v="0"/>
    <n v="7"/>
    <n v="11"/>
    <s v="Tuesday"/>
    <s v="July"/>
    <x v="133"/>
    <s v="CUST176"/>
    <x v="1"/>
    <x v="0"/>
    <n v="43"/>
    <x v="0"/>
    <n v="2"/>
    <n v="50"/>
    <n v="100"/>
    <n v="1.5"/>
    <n v="2"/>
    <n v="1.5"/>
  </r>
  <r>
    <n v="177"/>
    <x v="0"/>
    <n v="3"/>
    <n v="24"/>
    <s v="Friday"/>
    <s v="March"/>
    <x v="134"/>
    <s v="CUST177"/>
    <x v="0"/>
    <x v="0"/>
    <n v="45"/>
    <x v="0"/>
    <n v="2"/>
    <n v="50"/>
    <n v="100"/>
    <n v="1.5"/>
    <n v="2"/>
    <n v="1.5"/>
  </r>
  <r>
    <n v="178"/>
    <x v="0"/>
    <n v="10"/>
    <n v="4"/>
    <s v="Wednesday"/>
    <s v="October"/>
    <x v="135"/>
    <s v="CUST178"/>
    <x v="0"/>
    <x v="0"/>
    <n v="40"/>
    <x v="1"/>
    <n v="2"/>
    <n v="30"/>
    <n v="60"/>
    <n v="0.89999999999999991"/>
    <n v="1.2"/>
    <n v="0.89999999999999991"/>
  </r>
  <r>
    <n v="179"/>
    <x v="0"/>
    <n v="9"/>
    <n v="29"/>
    <s v="Friday"/>
    <s v="September"/>
    <x v="136"/>
    <s v="CUST179"/>
    <x v="0"/>
    <x v="0"/>
    <n v="31"/>
    <x v="2"/>
    <n v="1"/>
    <n v="300"/>
    <n v="300"/>
    <n v="4.5"/>
    <n v="6"/>
    <n v="4.5"/>
  </r>
  <r>
    <n v="180"/>
    <x v="0"/>
    <n v="1"/>
    <n v="1"/>
    <s v="Sunday"/>
    <s v="January"/>
    <x v="137"/>
    <s v="CUST180"/>
    <x v="0"/>
    <x v="0"/>
    <n v="41"/>
    <x v="1"/>
    <n v="3"/>
    <n v="300"/>
    <n v="900"/>
    <n v="13.5"/>
    <n v="18"/>
    <n v="13.5"/>
  </r>
  <r>
    <n v="181"/>
    <x v="0"/>
    <n v="11"/>
    <n v="3"/>
    <s v="Friday"/>
    <s v="November"/>
    <x v="138"/>
    <s v="CUST181"/>
    <x v="0"/>
    <x v="1"/>
    <n v="19"/>
    <x v="2"/>
    <n v="4"/>
    <n v="300"/>
    <n v="1200"/>
    <n v="18"/>
    <n v="24"/>
    <n v="18"/>
  </r>
  <r>
    <n v="182"/>
    <x v="0"/>
    <n v="6"/>
    <n v="15"/>
    <s v="Thursday"/>
    <s v="June"/>
    <x v="139"/>
    <s v="CUST182"/>
    <x v="0"/>
    <x v="2"/>
    <n v="62"/>
    <x v="0"/>
    <n v="4"/>
    <n v="30"/>
    <n v="120"/>
    <n v="1.7999999999999998"/>
    <n v="2.4"/>
    <n v="1.7999999999999998"/>
  </r>
  <r>
    <n v="183"/>
    <x v="0"/>
    <n v="9"/>
    <n v="8"/>
    <s v="Friday"/>
    <s v="September"/>
    <x v="140"/>
    <s v="CUST183"/>
    <x v="1"/>
    <x v="0"/>
    <n v="43"/>
    <x v="0"/>
    <n v="3"/>
    <n v="300"/>
    <n v="900"/>
    <n v="13.5"/>
    <n v="18"/>
    <n v="13.5"/>
  </r>
  <r>
    <n v="184"/>
    <x v="0"/>
    <n v="1"/>
    <n v="10"/>
    <s v="Tuesday"/>
    <s v="January"/>
    <x v="141"/>
    <s v="CUST184"/>
    <x v="0"/>
    <x v="0"/>
    <n v="31"/>
    <x v="2"/>
    <n v="4"/>
    <n v="50"/>
    <n v="200"/>
    <n v="3"/>
    <n v="4"/>
    <n v="3"/>
  </r>
  <r>
    <n v="185"/>
    <x v="0"/>
    <n v="2"/>
    <n v="27"/>
    <s v="Monday"/>
    <s v="February"/>
    <x v="1"/>
    <s v="CUST185"/>
    <x v="0"/>
    <x v="1"/>
    <n v="24"/>
    <x v="1"/>
    <n v="1"/>
    <n v="25"/>
    <n v="25"/>
    <n v="0.375"/>
    <n v="0.5"/>
    <n v="0.375"/>
  </r>
  <r>
    <n v="186"/>
    <x v="0"/>
    <n v="7"/>
    <n v="5"/>
    <s v="Wednesday"/>
    <s v="July"/>
    <x v="53"/>
    <s v="CUST186"/>
    <x v="0"/>
    <x v="1"/>
    <n v="20"/>
    <x v="1"/>
    <n v="4"/>
    <n v="50"/>
    <n v="200"/>
    <n v="3"/>
    <n v="4"/>
    <n v="3"/>
  </r>
  <r>
    <n v="187"/>
    <x v="0"/>
    <n v="6"/>
    <n v="7"/>
    <s v="Wednesday"/>
    <s v="June"/>
    <x v="142"/>
    <s v="CUST187"/>
    <x v="1"/>
    <x v="2"/>
    <n v="64"/>
    <x v="1"/>
    <n v="2"/>
    <n v="50"/>
    <n v="100"/>
    <n v="1.5"/>
    <n v="2"/>
    <n v="1.5"/>
  </r>
  <r>
    <n v="188"/>
    <x v="0"/>
    <n v="5"/>
    <n v="3"/>
    <s v="Wednesday"/>
    <s v="May"/>
    <x v="143"/>
    <s v="CUST188"/>
    <x v="0"/>
    <x v="0"/>
    <n v="40"/>
    <x v="1"/>
    <n v="3"/>
    <n v="25"/>
    <n v="75"/>
    <n v="1.125"/>
    <n v="1.5"/>
    <n v="1.125"/>
  </r>
  <r>
    <n v="189"/>
    <x v="0"/>
    <n v="1"/>
    <n v="30"/>
    <s v="Monday"/>
    <s v="January"/>
    <x v="144"/>
    <s v="CUST189"/>
    <x v="0"/>
    <x v="2"/>
    <n v="63"/>
    <x v="0"/>
    <n v="1"/>
    <n v="50"/>
    <n v="50"/>
    <n v="0.75"/>
    <n v="1"/>
    <n v="0.75"/>
  </r>
  <r>
    <n v="190"/>
    <x v="0"/>
    <n v="5"/>
    <n v="4"/>
    <s v="Thursday"/>
    <s v="May"/>
    <x v="145"/>
    <s v="CUST190"/>
    <x v="1"/>
    <x v="2"/>
    <n v="60"/>
    <x v="0"/>
    <n v="3"/>
    <n v="30"/>
    <n v="90"/>
    <n v="1.3499999999999999"/>
    <n v="1.8"/>
    <n v="1.3499999999999999"/>
  </r>
  <r>
    <n v="191"/>
    <x v="0"/>
    <n v="10"/>
    <n v="18"/>
    <s v="Wednesday"/>
    <s v="October"/>
    <x v="91"/>
    <s v="CUST191"/>
    <x v="0"/>
    <x v="2"/>
    <n v="64"/>
    <x v="0"/>
    <n v="1"/>
    <n v="25"/>
    <n v="25"/>
    <n v="0.375"/>
    <n v="0.5"/>
    <n v="0.375"/>
  </r>
  <r>
    <n v="192"/>
    <x v="0"/>
    <n v="2"/>
    <n v="10"/>
    <s v="Friday"/>
    <s v="February"/>
    <x v="48"/>
    <s v="CUST192"/>
    <x v="0"/>
    <x v="2"/>
    <n v="62"/>
    <x v="0"/>
    <n v="2"/>
    <n v="50"/>
    <n v="100"/>
    <n v="1.5"/>
    <n v="2"/>
    <n v="1.5"/>
  </r>
  <r>
    <n v="193"/>
    <x v="0"/>
    <n v="2"/>
    <n v="13"/>
    <s v="Monday"/>
    <s v="February"/>
    <x v="146"/>
    <s v="CUST193"/>
    <x v="0"/>
    <x v="0"/>
    <n v="35"/>
    <x v="0"/>
    <n v="3"/>
    <n v="500"/>
    <n v="1500"/>
    <n v="22.5"/>
    <n v="30"/>
    <n v="22.5"/>
  </r>
  <r>
    <n v="194"/>
    <x v="0"/>
    <n v="9"/>
    <n v="6"/>
    <s v="Wednesday"/>
    <s v="September"/>
    <x v="147"/>
    <s v="CUST194"/>
    <x v="0"/>
    <x v="2"/>
    <n v="55"/>
    <x v="1"/>
    <n v="4"/>
    <n v="50"/>
    <n v="200"/>
    <n v="3"/>
    <n v="4"/>
    <n v="3"/>
  </r>
  <r>
    <n v="195"/>
    <x v="0"/>
    <n v="2"/>
    <n v="5"/>
    <s v="Sunday"/>
    <s v="February"/>
    <x v="57"/>
    <s v="CUST195"/>
    <x v="0"/>
    <x v="2"/>
    <n v="52"/>
    <x v="1"/>
    <n v="1"/>
    <n v="30"/>
    <n v="30"/>
    <n v="0.44999999999999996"/>
    <n v="0.6"/>
    <n v="0.44999999999999996"/>
  </r>
  <r>
    <n v="196"/>
    <x v="0"/>
    <n v="9"/>
    <n v="30"/>
    <s v="Saturday"/>
    <s v="September"/>
    <x v="148"/>
    <s v="CUST196"/>
    <x v="1"/>
    <x v="0"/>
    <n v="32"/>
    <x v="1"/>
    <n v="3"/>
    <n v="300"/>
    <n v="900"/>
    <n v="13.5"/>
    <n v="18"/>
    <n v="13.5"/>
  </r>
  <r>
    <n v="197"/>
    <x v="0"/>
    <n v="3"/>
    <n v="6"/>
    <s v="Monday"/>
    <s v="March"/>
    <x v="149"/>
    <s v="CUST197"/>
    <x v="1"/>
    <x v="0"/>
    <n v="42"/>
    <x v="1"/>
    <n v="4"/>
    <n v="50"/>
    <n v="200"/>
    <n v="3"/>
    <n v="4"/>
    <n v="3"/>
  </r>
  <r>
    <n v="198"/>
    <x v="0"/>
    <n v="3"/>
    <n v="7"/>
    <s v="Tuesday"/>
    <s v="March"/>
    <x v="150"/>
    <s v="CUST198"/>
    <x v="1"/>
    <x v="2"/>
    <n v="54"/>
    <x v="0"/>
    <n v="3"/>
    <n v="300"/>
    <n v="900"/>
    <n v="13.5"/>
    <n v="18"/>
    <n v="13.5"/>
  </r>
  <r>
    <n v="199"/>
    <x v="0"/>
    <n v="12"/>
    <n v="4"/>
    <s v="Monday"/>
    <s v="December"/>
    <x v="151"/>
    <s v="CUST199"/>
    <x v="0"/>
    <x v="0"/>
    <n v="45"/>
    <x v="0"/>
    <n v="3"/>
    <n v="500"/>
    <n v="1500"/>
    <n v="22.5"/>
    <n v="30"/>
    <n v="22.5"/>
  </r>
  <r>
    <n v="200"/>
    <x v="0"/>
    <n v="9"/>
    <n v="1"/>
    <s v="Friday"/>
    <s v="September"/>
    <x v="152"/>
    <s v="CUST200"/>
    <x v="0"/>
    <x v="1"/>
    <n v="27"/>
    <x v="0"/>
    <n v="3"/>
    <n v="50"/>
    <n v="150"/>
    <n v="2.25"/>
    <n v="3"/>
    <n v="2.25"/>
  </r>
  <r>
    <n v="201"/>
    <x v="0"/>
    <n v="10"/>
    <n v="9"/>
    <s v="Monday"/>
    <s v="October"/>
    <x v="153"/>
    <s v="CUST201"/>
    <x v="0"/>
    <x v="2"/>
    <n v="56"/>
    <x v="2"/>
    <n v="1"/>
    <n v="25"/>
    <n v="25"/>
    <n v="0.375"/>
    <n v="0.5"/>
    <n v="0.375"/>
  </r>
  <r>
    <n v="202"/>
    <x v="0"/>
    <n v="3"/>
    <n v="26"/>
    <s v="Sunday"/>
    <s v="March"/>
    <x v="154"/>
    <s v="CUST202"/>
    <x v="1"/>
    <x v="0"/>
    <n v="34"/>
    <x v="1"/>
    <n v="4"/>
    <n v="300"/>
    <n v="1200"/>
    <n v="18"/>
    <n v="24"/>
    <n v="18"/>
  </r>
  <r>
    <n v="203"/>
    <x v="0"/>
    <n v="5"/>
    <n v="16"/>
    <s v="Tuesday"/>
    <s v="May"/>
    <x v="42"/>
    <s v="CUST203"/>
    <x v="0"/>
    <x v="2"/>
    <n v="56"/>
    <x v="1"/>
    <n v="2"/>
    <n v="500"/>
    <n v="1000"/>
    <n v="15"/>
    <n v="20"/>
    <n v="15"/>
  </r>
  <r>
    <n v="204"/>
    <x v="0"/>
    <n v="9"/>
    <n v="28"/>
    <s v="Thursday"/>
    <s v="September"/>
    <x v="118"/>
    <s v="CUST204"/>
    <x v="0"/>
    <x v="0"/>
    <n v="39"/>
    <x v="0"/>
    <n v="1"/>
    <n v="25"/>
    <n v="25"/>
    <n v="0.375"/>
    <n v="0.5"/>
    <n v="0.375"/>
  </r>
  <r>
    <n v="205"/>
    <x v="0"/>
    <n v="11"/>
    <n v="7"/>
    <s v="Tuesday"/>
    <s v="November"/>
    <x v="155"/>
    <s v="CUST205"/>
    <x v="1"/>
    <x v="0"/>
    <n v="43"/>
    <x v="1"/>
    <n v="1"/>
    <n v="25"/>
    <n v="25"/>
    <n v="0.375"/>
    <n v="0.5"/>
    <n v="0.375"/>
  </r>
  <r>
    <n v="206"/>
    <x v="0"/>
    <n v="8"/>
    <n v="5"/>
    <s v="Saturday"/>
    <s v="August"/>
    <x v="12"/>
    <s v="CUST206"/>
    <x v="0"/>
    <x v="2"/>
    <n v="61"/>
    <x v="1"/>
    <n v="1"/>
    <n v="25"/>
    <n v="25"/>
    <n v="0.375"/>
    <n v="0.5"/>
    <n v="0.375"/>
  </r>
  <r>
    <n v="207"/>
    <x v="0"/>
    <n v="4"/>
    <n v="19"/>
    <s v="Wednesday"/>
    <s v="April"/>
    <x v="90"/>
    <s v="CUST207"/>
    <x v="1"/>
    <x v="0"/>
    <n v="42"/>
    <x v="0"/>
    <n v="2"/>
    <n v="25"/>
    <n v="50"/>
    <n v="0.75"/>
    <n v="1"/>
    <n v="0.75"/>
  </r>
  <r>
    <n v="208"/>
    <x v="0"/>
    <n v="10"/>
    <n v="4"/>
    <s v="Wednesday"/>
    <s v="October"/>
    <x v="135"/>
    <s v="CUST208"/>
    <x v="1"/>
    <x v="0"/>
    <n v="34"/>
    <x v="2"/>
    <n v="4"/>
    <n v="50"/>
    <n v="200"/>
    <n v="3"/>
    <n v="4"/>
    <n v="3"/>
  </r>
  <r>
    <n v="209"/>
    <x v="0"/>
    <n v="12"/>
    <n v="20"/>
    <s v="Wednesday"/>
    <s v="December"/>
    <x v="156"/>
    <s v="CUST209"/>
    <x v="1"/>
    <x v="0"/>
    <n v="30"/>
    <x v="2"/>
    <n v="4"/>
    <n v="50"/>
    <n v="200"/>
    <n v="3"/>
    <n v="4"/>
    <n v="3"/>
  </r>
  <r>
    <n v="210"/>
    <x v="0"/>
    <n v="4"/>
    <n v="13"/>
    <s v="Thursday"/>
    <s v="April"/>
    <x v="157"/>
    <s v="CUST210"/>
    <x v="0"/>
    <x v="0"/>
    <n v="37"/>
    <x v="2"/>
    <n v="4"/>
    <n v="50"/>
    <n v="200"/>
    <n v="3"/>
    <n v="4"/>
    <n v="3"/>
  </r>
  <r>
    <n v="211"/>
    <x v="1"/>
    <n v="1"/>
    <n v="1"/>
    <s v="Monday"/>
    <s v="January"/>
    <x v="158"/>
    <s v="CUST211"/>
    <x v="0"/>
    <x v="0"/>
    <n v="42"/>
    <x v="0"/>
    <n v="3"/>
    <n v="500"/>
    <n v="1500"/>
    <n v="22.5"/>
    <n v="30"/>
    <n v="30"/>
  </r>
  <r>
    <n v="212"/>
    <x v="0"/>
    <n v="6"/>
    <n v="9"/>
    <s v="Friday"/>
    <s v="June"/>
    <x v="159"/>
    <s v="CUST212"/>
    <x v="0"/>
    <x v="1"/>
    <n v="21"/>
    <x v="1"/>
    <n v="3"/>
    <n v="500"/>
    <n v="1500"/>
    <n v="22.5"/>
    <n v="30"/>
    <n v="22.5"/>
  </r>
  <r>
    <n v="213"/>
    <x v="0"/>
    <n v="7"/>
    <n v="24"/>
    <s v="Monday"/>
    <s v="July"/>
    <x v="104"/>
    <s v="CUST213"/>
    <x v="0"/>
    <x v="1"/>
    <n v="27"/>
    <x v="0"/>
    <n v="3"/>
    <n v="500"/>
    <n v="1500"/>
    <n v="22.5"/>
    <n v="30"/>
    <n v="22.5"/>
  </r>
  <r>
    <n v="214"/>
    <x v="0"/>
    <n v="12"/>
    <n v="10"/>
    <s v="Sunday"/>
    <s v="December"/>
    <x v="70"/>
    <s v="CUST214"/>
    <x v="0"/>
    <x v="1"/>
    <n v="20"/>
    <x v="0"/>
    <n v="2"/>
    <n v="30"/>
    <n v="60"/>
    <n v="0.89999999999999991"/>
    <n v="1.2"/>
    <n v="0.89999999999999991"/>
  </r>
  <r>
    <n v="215"/>
    <x v="0"/>
    <n v="11"/>
    <n v="29"/>
    <s v="Wednesday"/>
    <s v="November"/>
    <x v="23"/>
    <s v="CUST215"/>
    <x v="0"/>
    <x v="2"/>
    <n v="58"/>
    <x v="1"/>
    <n v="3"/>
    <n v="500"/>
    <n v="1500"/>
    <n v="22.5"/>
    <n v="30"/>
    <n v="22.5"/>
  </r>
  <r>
    <n v="216"/>
    <x v="0"/>
    <n v="7"/>
    <n v="11"/>
    <s v="Tuesday"/>
    <s v="July"/>
    <x v="133"/>
    <s v="CUST216"/>
    <x v="0"/>
    <x v="2"/>
    <n v="62"/>
    <x v="2"/>
    <n v="2"/>
    <n v="50"/>
    <n v="100"/>
    <n v="1.5"/>
    <n v="2"/>
    <n v="1.5"/>
  </r>
  <r>
    <n v="217"/>
    <x v="0"/>
    <n v="8"/>
    <n v="13"/>
    <s v="Sunday"/>
    <s v="August"/>
    <x v="160"/>
    <s v="CUST217"/>
    <x v="1"/>
    <x v="0"/>
    <n v="35"/>
    <x v="2"/>
    <n v="4"/>
    <n v="50"/>
    <n v="200"/>
    <n v="3"/>
    <n v="4"/>
    <n v="3"/>
  </r>
  <r>
    <n v="218"/>
    <x v="0"/>
    <n v="9"/>
    <n v="22"/>
    <s v="Friday"/>
    <s v="September"/>
    <x v="161"/>
    <s v="CUST218"/>
    <x v="0"/>
    <x v="2"/>
    <n v="64"/>
    <x v="0"/>
    <n v="3"/>
    <n v="30"/>
    <n v="90"/>
    <n v="1.3499999999999999"/>
    <n v="1.8"/>
    <n v="1.3499999999999999"/>
  </r>
  <r>
    <n v="219"/>
    <x v="0"/>
    <n v="8"/>
    <n v="20"/>
    <s v="Sunday"/>
    <s v="August"/>
    <x v="162"/>
    <s v="CUST219"/>
    <x v="1"/>
    <x v="2"/>
    <n v="53"/>
    <x v="2"/>
    <n v="3"/>
    <n v="30"/>
    <n v="90"/>
    <n v="1.3499999999999999"/>
    <n v="1.8"/>
    <n v="1.3499999999999999"/>
  </r>
  <r>
    <n v="220"/>
    <x v="0"/>
    <n v="3"/>
    <n v="3"/>
    <s v="Friday"/>
    <s v="March"/>
    <x v="163"/>
    <s v="CUST220"/>
    <x v="0"/>
    <x v="2"/>
    <n v="64"/>
    <x v="0"/>
    <n v="1"/>
    <n v="500"/>
    <n v="500"/>
    <n v="7.5"/>
    <n v="10"/>
    <n v="7.5"/>
  </r>
  <r>
    <n v="221"/>
    <x v="0"/>
    <n v="5"/>
    <n v="7"/>
    <s v="Sunday"/>
    <s v="May"/>
    <x v="98"/>
    <s v="CUST221"/>
    <x v="0"/>
    <x v="0"/>
    <n v="39"/>
    <x v="0"/>
    <n v="2"/>
    <n v="300"/>
    <n v="600"/>
    <n v="9"/>
    <n v="12"/>
    <n v="9"/>
  </r>
  <r>
    <n v="222"/>
    <x v="0"/>
    <n v="4"/>
    <n v="26"/>
    <s v="Wednesday"/>
    <s v="April"/>
    <x v="164"/>
    <s v="CUST222"/>
    <x v="0"/>
    <x v="2"/>
    <n v="51"/>
    <x v="1"/>
    <n v="4"/>
    <n v="30"/>
    <n v="120"/>
    <n v="1.7999999999999998"/>
    <n v="2.4"/>
    <n v="1.7999999999999998"/>
  </r>
  <r>
    <n v="223"/>
    <x v="0"/>
    <n v="2"/>
    <n v="2"/>
    <s v="Thursday"/>
    <s v="February"/>
    <x v="114"/>
    <s v="CUST223"/>
    <x v="1"/>
    <x v="2"/>
    <n v="64"/>
    <x v="1"/>
    <n v="1"/>
    <n v="25"/>
    <n v="25"/>
    <n v="0.375"/>
    <n v="0.5"/>
    <n v="0.375"/>
  </r>
  <r>
    <n v="224"/>
    <x v="0"/>
    <n v="6"/>
    <n v="23"/>
    <s v="Friday"/>
    <s v="June"/>
    <x v="165"/>
    <s v="CUST224"/>
    <x v="1"/>
    <x v="1"/>
    <n v="25"/>
    <x v="1"/>
    <n v="1"/>
    <n v="50"/>
    <n v="50"/>
    <n v="0.75"/>
    <n v="1"/>
    <n v="0.75"/>
  </r>
  <r>
    <n v="225"/>
    <x v="0"/>
    <n v="1"/>
    <n v="11"/>
    <s v="Wednesday"/>
    <s v="January"/>
    <x v="166"/>
    <s v="CUST225"/>
    <x v="1"/>
    <x v="2"/>
    <n v="57"/>
    <x v="0"/>
    <n v="4"/>
    <n v="25"/>
    <n v="100"/>
    <n v="1.5"/>
    <n v="2"/>
    <n v="1.5"/>
  </r>
  <r>
    <n v="226"/>
    <x v="0"/>
    <n v="10"/>
    <n v="29"/>
    <s v="Sunday"/>
    <s v="October"/>
    <x v="28"/>
    <s v="CUST226"/>
    <x v="1"/>
    <x v="2"/>
    <n v="61"/>
    <x v="1"/>
    <n v="1"/>
    <n v="50"/>
    <n v="50"/>
    <n v="0.75"/>
    <n v="1"/>
    <n v="0.75"/>
  </r>
  <r>
    <n v="227"/>
    <x v="0"/>
    <n v="10"/>
    <n v="11"/>
    <s v="Wednesday"/>
    <s v="October"/>
    <x v="120"/>
    <s v="CUST227"/>
    <x v="0"/>
    <x v="0"/>
    <n v="36"/>
    <x v="2"/>
    <n v="2"/>
    <n v="50"/>
    <n v="100"/>
    <n v="1.5"/>
    <n v="2"/>
    <n v="1.5"/>
  </r>
  <r>
    <n v="228"/>
    <x v="0"/>
    <n v="4"/>
    <n v="28"/>
    <s v="Friday"/>
    <s v="April"/>
    <x v="85"/>
    <s v="CUST228"/>
    <x v="1"/>
    <x v="2"/>
    <n v="59"/>
    <x v="2"/>
    <n v="2"/>
    <n v="30"/>
    <n v="60"/>
    <n v="0.89999999999999991"/>
    <n v="1.2"/>
    <n v="0.89999999999999991"/>
  </r>
  <r>
    <n v="229"/>
    <x v="0"/>
    <n v="10"/>
    <n v="29"/>
    <s v="Sunday"/>
    <s v="October"/>
    <x v="28"/>
    <s v="CUST229"/>
    <x v="0"/>
    <x v="2"/>
    <n v="58"/>
    <x v="0"/>
    <n v="3"/>
    <n v="30"/>
    <n v="90"/>
    <n v="1.3499999999999999"/>
    <n v="1.8"/>
    <n v="1.3499999999999999"/>
  </r>
  <r>
    <n v="230"/>
    <x v="0"/>
    <n v="4"/>
    <n v="23"/>
    <s v="Sunday"/>
    <s v="April"/>
    <x v="26"/>
    <s v="CUST230"/>
    <x v="0"/>
    <x v="2"/>
    <n v="54"/>
    <x v="0"/>
    <n v="1"/>
    <n v="25"/>
    <n v="25"/>
    <n v="0.375"/>
    <n v="0.5"/>
    <n v="0.375"/>
  </r>
  <r>
    <n v="231"/>
    <x v="0"/>
    <n v="1"/>
    <n v="4"/>
    <s v="Wednesday"/>
    <s v="January"/>
    <x v="30"/>
    <s v="CUST231"/>
    <x v="1"/>
    <x v="1"/>
    <n v="23"/>
    <x v="1"/>
    <n v="3"/>
    <n v="50"/>
    <n v="150"/>
    <n v="2.25"/>
    <n v="3"/>
    <n v="2.25"/>
  </r>
  <r>
    <n v="232"/>
    <x v="0"/>
    <n v="2"/>
    <n v="6"/>
    <s v="Monday"/>
    <s v="February"/>
    <x v="74"/>
    <s v="CUST232"/>
    <x v="1"/>
    <x v="0"/>
    <n v="43"/>
    <x v="0"/>
    <n v="1"/>
    <n v="25"/>
    <n v="25"/>
    <n v="0.375"/>
    <n v="0.5"/>
    <n v="0.375"/>
  </r>
  <r>
    <n v="233"/>
    <x v="0"/>
    <n v="12"/>
    <n v="29"/>
    <s v="Friday"/>
    <s v="December"/>
    <x v="167"/>
    <s v="CUST233"/>
    <x v="1"/>
    <x v="2"/>
    <n v="51"/>
    <x v="0"/>
    <n v="2"/>
    <n v="300"/>
    <n v="600"/>
    <n v="9"/>
    <n v="12"/>
    <n v="9"/>
  </r>
  <r>
    <n v="234"/>
    <x v="0"/>
    <n v="11"/>
    <n v="20"/>
    <s v="Monday"/>
    <s v="November"/>
    <x v="168"/>
    <s v="CUST234"/>
    <x v="1"/>
    <x v="2"/>
    <n v="62"/>
    <x v="2"/>
    <n v="2"/>
    <n v="25"/>
    <n v="50"/>
    <n v="0.75"/>
    <n v="1"/>
    <n v="0.75"/>
  </r>
  <r>
    <n v="235"/>
    <x v="0"/>
    <n v="1"/>
    <n v="31"/>
    <s v="Tuesday"/>
    <s v="January"/>
    <x v="169"/>
    <s v="CUST235"/>
    <x v="1"/>
    <x v="1"/>
    <n v="23"/>
    <x v="2"/>
    <n v="2"/>
    <n v="500"/>
    <n v="1000"/>
    <n v="15"/>
    <n v="20"/>
    <n v="15"/>
  </r>
  <r>
    <n v="236"/>
    <x v="0"/>
    <n v="4"/>
    <n v="28"/>
    <s v="Friday"/>
    <s v="April"/>
    <x v="85"/>
    <s v="CUST236"/>
    <x v="1"/>
    <x v="2"/>
    <n v="54"/>
    <x v="1"/>
    <n v="1"/>
    <n v="25"/>
    <n v="25"/>
    <n v="0.375"/>
    <n v="0.5"/>
    <n v="0.375"/>
  </r>
  <r>
    <n v="237"/>
    <x v="0"/>
    <n v="2"/>
    <n v="4"/>
    <s v="Saturday"/>
    <s v="February"/>
    <x v="170"/>
    <s v="CUST237"/>
    <x v="1"/>
    <x v="2"/>
    <n v="50"/>
    <x v="0"/>
    <n v="2"/>
    <n v="500"/>
    <n v="1000"/>
    <n v="15"/>
    <n v="20"/>
    <n v="15"/>
  </r>
  <r>
    <n v="238"/>
    <x v="0"/>
    <n v="1"/>
    <n v="17"/>
    <s v="Tuesday"/>
    <s v="January"/>
    <x v="13"/>
    <s v="CUST238"/>
    <x v="1"/>
    <x v="0"/>
    <n v="39"/>
    <x v="0"/>
    <n v="1"/>
    <n v="500"/>
    <n v="500"/>
    <n v="7.5"/>
    <n v="10"/>
    <n v="7.5"/>
  </r>
  <r>
    <n v="239"/>
    <x v="0"/>
    <n v="6"/>
    <n v="19"/>
    <s v="Monday"/>
    <s v="June"/>
    <x v="171"/>
    <s v="CUST239"/>
    <x v="0"/>
    <x v="0"/>
    <n v="38"/>
    <x v="2"/>
    <n v="3"/>
    <n v="500"/>
    <n v="1500"/>
    <n v="22.5"/>
    <n v="30"/>
    <n v="22.5"/>
  </r>
  <r>
    <n v="240"/>
    <x v="0"/>
    <n v="2"/>
    <n v="6"/>
    <s v="Monday"/>
    <s v="February"/>
    <x v="74"/>
    <s v="CUST240"/>
    <x v="1"/>
    <x v="1"/>
    <n v="23"/>
    <x v="0"/>
    <n v="1"/>
    <n v="300"/>
    <n v="300"/>
    <n v="4.5"/>
    <n v="6"/>
    <n v="4.5"/>
  </r>
  <r>
    <n v="241"/>
    <x v="0"/>
    <n v="9"/>
    <n v="21"/>
    <s v="Thursday"/>
    <s v="September"/>
    <x v="172"/>
    <s v="CUST241"/>
    <x v="1"/>
    <x v="1"/>
    <n v="23"/>
    <x v="2"/>
    <n v="3"/>
    <n v="25"/>
    <n v="75"/>
    <n v="1.125"/>
    <n v="1.5"/>
    <n v="1.125"/>
  </r>
  <r>
    <n v="242"/>
    <x v="0"/>
    <n v="5"/>
    <n v="2"/>
    <s v="Tuesday"/>
    <s v="May"/>
    <x v="173"/>
    <s v="CUST242"/>
    <x v="0"/>
    <x v="1"/>
    <n v="21"/>
    <x v="1"/>
    <n v="1"/>
    <n v="25"/>
    <n v="25"/>
    <n v="0.375"/>
    <n v="0.5"/>
    <n v="0.375"/>
  </r>
  <r>
    <n v="243"/>
    <x v="0"/>
    <n v="5"/>
    <n v="23"/>
    <s v="Tuesday"/>
    <s v="May"/>
    <x v="29"/>
    <s v="CUST243"/>
    <x v="1"/>
    <x v="0"/>
    <n v="47"/>
    <x v="2"/>
    <n v="3"/>
    <n v="300"/>
    <n v="900"/>
    <n v="13.5"/>
    <n v="18"/>
    <n v="13.5"/>
  </r>
  <r>
    <n v="244"/>
    <x v="0"/>
    <n v="12"/>
    <n v="9"/>
    <s v="Saturday"/>
    <s v="December"/>
    <x v="174"/>
    <s v="CUST244"/>
    <x v="0"/>
    <x v="1"/>
    <n v="28"/>
    <x v="0"/>
    <n v="2"/>
    <n v="50"/>
    <n v="100"/>
    <n v="1.5"/>
    <n v="2"/>
    <n v="1.5"/>
  </r>
  <r>
    <n v="245"/>
    <x v="0"/>
    <n v="9"/>
    <n v="6"/>
    <s v="Wednesday"/>
    <s v="September"/>
    <x v="147"/>
    <s v="CUST245"/>
    <x v="0"/>
    <x v="0"/>
    <n v="47"/>
    <x v="1"/>
    <n v="3"/>
    <n v="30"/>
    <n v="90"/>
    <n v="1.3499999999999999"/>
    <n v="1.8"/>
    <n v="1.3499999999999999"/>
  </r>
  <r>
    <n v="246"/>
    <x v="0"/>
    <n v="4"/>
    <n v="20"/>
    <s v="Thursday"/>
    <s v="April"/>
    <x v="175"/>
    <s v="CUST246"/>
    <x v="1"/>
    <x v="0"/>
    <n v="48"/>
    <x v="2"/>
    <n v="2"/>
    <n v="25"/>
    <n v="50"/>
    <n v="0.75"/>
    <n v="1"/>
    <n v="0.75"/>
  </r>
  <r>
    <n v="247"/>
    <x v="0"/>
    <n v="10"/>
    <n v="4"/>
    <s v="Wednesday"/>
    <s v="October"/>
    <x v="135"/>
    <s v="CUST247"/>
    <x v="0"/>
    <x v="0"/>
    <n v="41"/>
    <x v="2"/>
    <n v="2"/>
    <n v="30"/>
    <n v="60"/>
    <n v="0.89999999999999991"/>
    <n v="1.2"/>
    <n v="0.89999999999999991"/>
  </r>
  <r>
    <n v="248"/>
    <x v="0"/>
    <n v="3"/>
    <n v="9"/>
    <s v="Thursday"/>
    <s v="March"/>
    <x v="176"/>
    <s v="CUST248"/>
    <x v="0"/>
    <x v="1"/>
    <n v="26"/>
    <x v="1"/>
    <n v="3"/>
    <n v="300"/>
    <n v="900"/>
    <n v="13.5"/>
    <n v="18"/>
    <n v="13.5"/>
  </r>
  <r>
    <n v="249"/>
    <x v="0"/>
    <n v="10"/>
    <n v="20"/>
    <s v="Friday"/>
    <s v="October"/>
    <x v="177"/>
    <s v="CUST249"/>
    <x v="0"/>
    <x v="1"/>
    <n v="20"/>
    <x v="1"/>
    <n v="1"/>
    <n v="50"/>
    <n v="50"/>
    <n v="0.75"/>
    <n v="1"/>
    <n v="0.75"/>
  </r>
  <r>
    <n v="250"/>
    <x v="0"/>
    <n v="10"/>
    <n v="23"/>
    <s v="Monday"/>
    <s v="October"/>
    <x v="54"/>
    <s v="CUST250"/>
    <x v="0"/>
    <x v="0"/>
    <n v="48"/>
    <x v="2"/>
    <n v="1"/>
    <n v="50"/>
    <n v="50"/>
    <n v="0.75"/>
    <n v="1"/>
    <n v="0.75"/>
  </r>
  <r>
    <n v="251"/>
    <x v="0"/>
    <n v="8"/>
    <n v="31"/>
    <s v="Thursday"/>
    <s v="August"/>
    <x v="178"/>
    <s v="CUST251"/>
    <x v="1"/>
    <x v="2"/>
    <n v="57"/>
    <x v="0"/>
    <n v="4"/>
    <n v="50"/>
    <n v="200"/>
    <n v="3"/>
    <n v="4"/>
    <n v="3"/>
  </r>
  <r>
    <n v="252"/>
    <x v="0"/>
    <n v="5"/>
    <n v="5"/>
    <s v="Friday"/>
    <s v="May"/>
    <x v="179"/>
    <s v="CUST252"/>
    <x v="0"/>
    <x v="2"/>
    <n v="54"/>
    <x v="2"/>
    <n v="1"/>
    <n v="300"/>
    <n v="300"/>
    <n v="4.5"/>
    <n v="6"/>
    <n v="4.5"/>
  </r>
  <r>
    <n v="253"/>
    <x v="0"/>
    <n v="8"/>
    <n v="31"/>
    <s v="Thursday"/>
    <s v="August"/>
    <x v="178"/>
    <s v="CUST253"/>
    <x v="1"/>
    <x v="2"/>
    <n v="53"/>
    <x v="1"/>
    <n v="4"/>
    <n v="500"/>
    <n v="2000"/>
    <n v="30"/>
    <n v="40"/>
    <n v="30"/>
  </r>
  <r>
    <n v="254"/>
    <x v="0"/>
    <n v="7"/>
    <n v="28"/>
    <s v="Friday"/>
    <s v="July"/>
    <x v="180"/>
    <s v="CUST254"/>
    <x v="0"/>
    <x v="0"/>
    <n v="41"/>
    <x v="2"/>
    <n v="1"/>
    <n v="500"/>
    <n v="500"/>
    <n v="7.5"/>
    <n v="10"/>
    <n v="7.5"/>
  </r>
  <r>
    <n v="255"/>
    <x v="0"/>
    <n v="4"/>
    <n v="8"/>
    <s v="Saturday"/>
    <s v="April"/>
    <x v="181"/>
    <s v="CUST255"/>
    <x v="0"/>
    <x v="0"/>
    <n v="48"/>
    <x v="1"/>
    <n v="1"/>
    <n v="30"/>
    <n v="30"/>
    <n v="0.44999999999999996"/>
    <n v="0.6"/>
    <n v="0.44999999999999996"/>
  </r>
  <r>
    <n v="256"/>
    <x v="0"/>
    <n v="2"/>
    <n v="18"/>
    <s v="Saturday"/>
    <s v="February"/>
    <x v="182"/>
    <s v="CUST256"/>
    <x v="0"/>
    <x v="1"/>
    <n v="23"/>
    <x v="1"/>
    <n v="2"/>
    <n v="500"/>
    <n v="1000"/>
    <n v="15"/>
    <n v="20"/>
    <n v="15"/>
  </r>
  <r>
    <n v="257"/>
    <x v="0"/>
    <n v="2"/>
    <n v="19"/>
    <s v="Sunday"/>
    <s v="February"/>
    <x v="38"/>
    <s v="CUST257"/>
    <x v="0"/>
    <x v="1"/>
    <n v="19"/>
    <x v="0"/>
    <n v="4"/>
    <n v="500"/>
    <n v="2000"/>
    <n v="30"/>
    <n v="40"/>
    <n v="30"/>
  </r>
  <r>
    <n v="258"/>
    <x v="0"/>
    <n v="12"/>
    <n v="4"/>
    <s v="Monday"/>
    <s v="December"/>
    <x v="151"/>
    <s v="CUST258"/>
    <x v="1"/>
    <x v="0"/>
    <n v="37"/>
    <x v="1"/>
    <n v="1"/>
    <n v="50"/>
    <n v="50"/>
    <n v="0.75"/>
    <n v="1"/>
    <n v="0.75"/>
  </r>
  <r>
    <n v="259"/>
    <x v="0"/>
    <n v="8"/>
    <n v="9"/>
    <s v="Wednesday"/>
    <s v="August"/>
    <x v="183"/>
    <s v="CUST259"/>
    <x v="1"/>
    <x v="0"/>
    <n v="45"/>
    <x v="1"/>
    <n v="4"/>
    <n v="50"/>
    <n v="200"/>
    <n v="3"/>
    <n v="4"/>
    <n v="3"/>
  </r>
  <r>
    <n v="260"/>
    <x v="0"/>
    <n v="7"/>
    <n v="1"/>
    <s v="Saturday"/>
    <s v="July"/>
    <x v="68"/>
    <s v="CUST260"/>
    <x v="0"/>
    <x v="1"/>
    <n v="28"/>
    <x v="0"/>
    <n v="2"/>
    <n v="30"/>
    <n v="60"/>
    <n v="0.89999999999999991"/>
    <n v="1.2"/>
    <n v="0.89999999999999991"/>
  </r>
  <r>
    <n v="261"/>
    <x v="0"/>
    <n v="8"/>
    <n v="5"/>
    <s v="Saturday"/>
    <s v="August"/>
    <x v="12"/>
    <s v="CUST261"/>
    <x v="0"/>
    <x v="1"/>
    <n v="21"/>
    <x v="1"/>
    <n v="2"/>
    <n v="25"/>
    <n v="50"/>
    <n v="0.75"/>
    <n v="1"/>
    <n v="0.75"/>
  </r>
  <r>
    <n v="262"/>
    <x v="0"/>
    <n v="7"/>
    <n v="30"/>
    <s v="Sunday"/>
    <s v="July"/>
    <x v="184"/>
    <s v="CUST262"/>
    <x v="1"/>
    <x v="0"/>
    <n v="32"/>
    <x v="0"/>
    <n v="4"/>
    <n v="30"/>
    <n v="120"/>
    <n v="1.7999999999999998"/>
    <n v="2.4"/>
    <n v="1.7999999999999998"/>
  </r>
  <r>
    <n v="263"/>
    <x v="0"/>
    <n v="8"/>
    <n v="28"/>
    <s v="Monday"/>
    <s v="August"/>
    <x v="117"/>
    <s v="CUST263"/>
    <x v="0"/>
    <x v="1"/>
    <n v="23"/>
    <x v="0"/>
    <n v="2"/>
    <n v="30"/>
    <n v="60"/>
    <n v="0.89999999999999991"/>
    <n v="1.2"/>
    <n v="0.89999999999999991"/>
  </r>
  <r>
    <n v="264"/>
    <x v="0"/>
    <n v="1"/>
    <n v="28"/>
    <s v="Saturday"/>
    <s v="January"/>
    <x v="185"/>
    <s v="CUST264"/>
    <x v="0"/>
    <x v="0"/>
    <n v="47"/>
    <x v="1"/>
    <n v="3"/>
    <n v="300"/>
    <n v="900"/>
    <n v="13.5"/>
    <n v="18"/>
    <n v="13.5"/>
  </r>
  <r>
    <n v="265"/>
    <x v="0"/>
    <n v="12"/>
    <n v="11"/>
    <s v="Monday"/>
    <s v="December"/>
    <x v="186"/>
    <s v="CUST265"/>
    <x v="0"/>
    <x v="2"/>
    <n v="55"/>
    <x v="1"/>
    <n v="3"/>
    <n v="300"/>
    <n v="900"/>
    <n v="13.5"/>
    <n v="18"/>
    <n v="13.5"/>
  </r>
  <r>
    <n v="266"/>
    <x v="0"/>
    <n v="12"/>
    <n v="1"/>
    <s v="Friday"/>
    <s v="December"/>
    <x v="187"/>
    <s v="CUST266"/>
    <x v="1"/>
    <x v="1"/>
    <n v="19"/>
    <x v="2"/>
    <n v="2"/>
    <n v="30"/>
    <n v="60"/>
    <n v="0.89999999999999991"/>
    <n v="1.2"/>
    <n v="0.89999999999999991"/>
  </r>
  <r>
    <n v="267"/>
    <x v="0"/>
    <n v="11"/>
    <n v="27"/>
    <s v="Monday"/>
    <s v="November"/>
    <x v="188"/>
    <s v="CUST267"/>
    <x v="1"/>
    <x v="0"/>
    <n v="32"/>
    <x v="0"/>
    <n v="3"/>
    <n v="30"/>
    <n v="90"/>
    <n v="1.3499999999999999"/>
    <n v="1.8"/>
    <n v="1.3499999999999999"/>
  </r>
  <r>
    <n v="268"/>
    <x v="0"/>
    <n v="2"/>
    <n v="20"/>
    <s v="Monday"/>
    <s v="February"/>
    <x v="189"/>
    <s v="CUST268"/>
    <x v="1"/>
    <x v="1"/>
    <n v="28"/>
    <x v="2"/>
    <n v="1"/>
    <n v="30"/>
    <n v="30"/>
    <n v="0.44999999999999996"/>
    <n v="0.6"/>
    <n v="0.44999999999999996"/>
  </r>
  <r>
    <n v="269"/>
    <x v="0"/>
    <n v="2"/>
    <n v="1"/>
    <s v="Wednesday"/>
    <s v="February"/>
    <x v="190"/>
    <s v="CUST269"/>
    <x v="0"/>
    <x v="1"/>
    <n v="25"/>
    <x v="1"/>
    <n v="4"/>
    <n v="500"/>
    <n v="2000"/>
    <n v="30"/>
    <n v="40"/>
    <n v="30"/>
  </r>
  <r>
    <n v="270"/>
    <x v="0"/>
    <n v="7"/>
    <n v="26"/>
    <s v="Wednesday"/>
    <s v="July"/>
    <x v="191"/>
    <s v="CUST270"/>
    <x v="0"/>
    <x v="0"/>
    <n v="43"/>
    <x v="2"/>
    <n v="1"/>
    <n v="300"/>
    <n v="300"/>
    <n v="4.5"/>
    <n v="6"/>
    <n v="4.5"/>
  </r>
  <r>
    <n v="271"/>
    <x v="0"/>
    <n v="6"/>
    <n v="23"/>
    <s v="Friday"/>
    <s v="June"/>
    <x v="165"/>
    <s v="CUST271"/>
    <x v="1"/>
    <x v="2"/>
    <n v="62"/>
    <x v="0"/>
    <n v="4"/>
    <n v="30"/>
    <n v="120"/>
    <n v="1.7999999999999998"/>
    <n v="2.4"/>
    <n v="1.7999999999999998"/>
  </r>
  <r>
    <n v="272"/>
    <x v="0"/>
    <n v="2"/>
    <n v="25"/>
    <s v="Saturday"/>
    <s v="February"/>
    <x v="192"/>
    <s v="CUST272"/>
    <x v="1"/>
    <x v="2"/>
    <n v="61"/>
    <x v="2"/>
    <n v="2"/>
    <n v="50"/>
    <n v="100"/>
    <n v="1.5"/>
    <n v="2"/>
    <n v="1.5"/>
  </r>
  <r>
    <n v="273"/>
    <x v="0"/>
    <n v="5"/>
    <n v="8"/>
    <s v="Monday"/>
    <s v="May"/>
    <x v="193"/>
    <s v="CUST273"/>
    <x v="1"/>
    <x v="1"/>
    <n v="22"/>
    <x v="0"/>
    <n v="1"/>
    <n v="50"/>
    <n v="50"/>
    <n v="0.75"/>
    <n v="1"/>
    <n v="0.75"/>
  </r>
  <r>
    <n v="274"/>
    <x v="0"/>
    <n v="4"/>
    <n v="9"/>
    <s v="Sunday"/>
    <s v="April"/>
    <x v="55"/>
    <s v="CUST274"/>
    <x v="1"/>
    <x v="1"/>
    <n v="23"/>
    <x v="1"/>
    <n v="2"/>
    <n v="500"/>
    <n v="1000"/>
    <n v="15"/>
    <n v="20"/>
    <n v="15"/>
  </r>
  <r>
    <n v="275"/>
    <x v="0"/>
    <n v="4"/>
    <n v="8"/>
    <s v="Saturday"/>
    <s v="April"/>
    <x v="181"/>
    <s v="CUST275"/>
    <x v="0"/>
    <x v="0"/>
    <n v="43"/>
    <x v="1"/>
    <n v="2"/>
    <n v="500"/>
    <n v="1000"/>
    <n v="15"/>
    <n v="20"/>
    <n v="15"/>
  </r>
  <r>
    <n v="276"/>
    <x v="0"/>
    <n v="10"/>
    <n v="2"/>
    <s v="Monday"/>
    <s v="October"/>
    <x v="45"/>
    <s v="CUST276"/>
    <x v="1"/>
    <x v="1"/>
    <n v="21"/>
    <x v="0"/>
    <n v="4"/>
    <n v="25"/>
    <n v="100"/>
    <n v="1.5"/>
    <n v="2"/>
    <n v="1.5"/>
  </r>
  <r>
    <n v="277"/>
    <x v="0"/>
    <n v="8"/>
    <n v="18"/>
    <s v="Friday"/>
    <s v="August"/>
    <x v="27"/>
    <s v="CUST277"/>
    <x v="0"/>
    <x v="0"/>
    <n v="36"/>
    <x v="1"/>
    <n v="4"/>
    <n v="25"/>
    <n v="100"/>
    <n v="1.5"/>
    <n v="2"/>
    <n v="1.5"/>
  </r>
  <r>
    <n v="278"/>
    <x v="0"/>
    <n v="3"/>
    <n v="13"/>
    <s v="Monday"/>
    <s v="March"/>
    <x v="6"/>
    <s v="CUST278"/>
    <x v="1"/>
    <x v="0"/>
    <n v="37"/>
    <x v="1"/>
    <n v="4"/>
    <n v="25"/>
    <n v="100"/>
    <n v="1.5"/>
    <n v="2"/>
    <n v="1.5"/>
  </r>
  <r>
    <n v="279"/>
    <x v="0"/>
    <n v="8"/>
    <n v="5"/>
    <s v="Saturday"/>
    <s v="August"/>
    <x v="12"/>
    <s v="CUST279"/>
    <x v="0"/>
    <x v="2"/>
    <n v="50"/>
    <x v="1"/>
    <n v="1"/>
    <n v="500"/>
    <n v="500"/>
    <n v="7.5"/>
    <n v="10"/>
    <n v="7.5"/>
  </r>
  <r>
    <n v="280"/>
    <x v="0"/>
    <n v="4"/>
    <n v="4"/>
    <s v="Tuesday"/>
    <s v="April"/>
    <x v="194"/>
    <s v="CUST280"/>
    <x v="1"/>
    <x v="0"/>
    <n v="37"/>
    <x v="1"/>
    <n v="3"/>
    <n v="500"/>
    <n v="1500"/>
    <n v="22.5"/>
    <n v="30"/>
    <n v="22.5"/>
  </r>
  <r>
    <n v="281"/>
    <x v="0"/>
    <n v="5"/>
    <n v="23"/>
    <s v="Tuesday"/>
    <s v="May"/>
    <x v="29"/>
    <s v="CUST281"/>
    <x v="1"/>
    <x v="1"/>
    <n v="29"/>
    <x v="0"/>
    <n v="4"/>
    <n v="500"/>
    <n v="2000"/>
    <n v="30"/>
    <n v="40"/>
    <n v="30"/>
  </r>
  <r>
    <n v="282"/>
    <x v="0"/>
    <n v="8"/>
    <n v="25"/>
    <s v="Friday"/>
    <s v="August"/>
    <x v="78"/>
    <s v="CUST282"/>
    <x v="1"/>
    <x v="2"/>
    <n v="64"/>
    <x v="2"/>
    <n v="4"/>
    <n v="50"/>
    <n v="200"/>
    <n v="3"/>
    <n v="4"/>
    <n v="3"/>
  </r>
  <r>
    <n v="283"/>
    <x v="0"/>
    <n v="5"/>
    <n v="8"/>
    <s v="Monday"/>
    <s v="May"/>
    <x v="193"/>
    <s v="CUST283"/>
    <x v="1"/>
    <x v="1"/>
    <n v="18"/>
    <x v="2"/>
    <n v="1"/>
    <n v="500"/>
    <n v="500"/>
    <n v="7.5"/>
    <n v="10"/>
    <n v="7.5"/>
  </r>
  <r>
    <n v="284"/>
    <x v="0"/>
    <n v="2"/>
    <n v="8"/>
    <s v="Wednesday"/>
    <s v="February"/>
    <x v="195"/>
    <s v="CUST284"/>
    <x v="0"/>
    <x v="0"/>
    <n v="43"/>
    <x v="1"/>
    <n v="4"/>
    <n v="50"/>
    <n v="200"/>
    <n v="3"/>
    <n v="4"/>
    <n v="3"/>
  </r>
  <r>
    <n v="285"/>
    <x v="0"/>
    <n v="8"/>
    <n v="15"/>
    <s v="Tuesday"/>
    <s v="August"/>
    <x v="196"/>
    <s v="CUST285"/>
    <x v="1"/>
    <x v="0"/>
    <n v="31"/>
    <x v="2"/>
    <n v="1"/>
    <n v="25"/>
    <n v="25"/>
    <n v="0.375"/>
    <n v="0.5"/>
    <n v="0.375"/>
  </r>
  <r>
    <n v="286"/>
    <x v="0"/>
    <n v="10"/>
    <n v="9"/>
    <s v="Monday"/>
    <s v="October"/>
    <x v="153"/>
    <s v="CUST286"/>
    <x v="0"/>
    <x v="2"/>
    <n v="55"/>
    <x v="2"/>
    <n v="2"/>
    <n v="25"/>
    <n v="50"/>
    <n v="0.75"/>
    <n v="1"/>
    <n v="0.75"/>
  </r>
  <r>
    <n v="287"/>
    <x v="0"/>
    <n v="2"/>
    <n v="20"/>
    <s v="Monday"/>
    <s v="February"/>
    <x v="189"/>
    <s v="CUST287"/>
    <x v="0"/>
    <x v="2"/>
    <n v="54"/>
    <x v="1"/>
    <n v="4"/>
    <n v="25"/>
    <n v="100"/>
    <n v="1.5"/>
    <n v="2"/>
    <n v="1.5"/>
  </r>
  <r>
    <n v="288"/>
    <x v="0"/>
    <n v="1"/>
    <n v="26"/>
    <s v="Thursday"/>
    <s v="January"/>
    <x v="197"/>
    <s v="CUST288"/>
    <x v="0"/>
    <x v="1"/>
    <n v="28"/>
    <x v="1"/>
    <n v="4"/>
    <n v="30"/>
    <n v="120"/>
    <n v="1.7999999999999998"/>
    <n v="2.4"/>
    <n v="1.7999999999999998"/>
  </r>
  <r>
    <n v="289"/>
    <x v="0"/>
    <n v="11"/>
    <n v="30"/>
    <s v="Thursday"/>
    <s v="November"/>
    <x v="198"/>
    <s v="CUST289"/>
    <x v="0"/>
    <x v="2"/>
    <n v="53"/>
    <x v="2"/>
    <n v="2"/>
    <n v="30"/>
    <n v="60"/>
    <n v="0.89999999999999991"/>
    <n v="1.2"/>
    <n v="0.89999999999999991"/>
  </r>
  <r>
    <n v="290"/>
    <x v="0"/>
    <n v="10"/>
    <n v="4"/>
    <s v="Wednesday"/>
    <s v="October"/>
    <x v="135"/>
    <s v="CUST290"/>
    <x v="1"/>
    <x v="0"/>
    <n v="30"/>
    <x v="0"/>
    <n v="2"/>
    <n v="300"/>
    <n v="600"/>
    <n v="9"/>
    <n v="12"/>
    <n v="9"/>
  </r>
  <r>
    <n v="291"/>
    <x v="0"/>
    <n v="1"/>
    <n v="8"/>
    <s v="Sunday"/>
    <s v="January"/>
    <x v="199"/>
    <s v="CUST291"/>
    <x v="0"/>
    <x v="2"/>
    <n v="60"/>
    <x v="1"/>
    <n v="2"/>
    <n v="300"/>
    <n v="600"/>
    <n v="9"/>
    <n v="12"/>
    <n v="9"/>
  </r>
  <r>
    <n v="292"/>
    <x v="0"/>
    <n v="2"/>
    <n v="17"/>
    <s v="Friday"/>
    <s v="February"/>
    <x v="15"/>
    <s v="CUST292"/>
    <x v="0"/>
    <x v="1"/>
    <n v="20"/>
    <x v="0"/>
    <n v="4"/>
    <n v="300"/>
    <n v="1200"/>
    <n v="18"/>
    <n v="24"/>
    <n v="18"/>
  </r>
  <r>
    <n v="293"/>
    <x v="0"/>
    <n v="5"/>
    <n v="2"/>
    <s v="Tuesday"/>
    <s v="May"/>
    <x v="173"/>
    <s v="CUST293"/>
    <x v="0"/>
    <x v="2"/>
    <n v="50"/>
    <x v="2"/>
    <n v="3"/>
    <n v="30"/>
    <n v="90"/>
    <n v="1.3499999999999999"/>
    <n v="1.8"/>
    <n v="1.3499999999999999"/>
  </r>
  <r>
    <n v="294"/>
    <x v="0"/>
    <n v="3"/>
    <n v="27"/>
    <s v="Monday"/>
    <s v="March"/>
    <x v="200"/>
    <s v="CUST294"/>
    <x v="1"/>
    <x v="1"/>
    <n v="23"/>
    <x v="1"/>
    <n v="3"/>
    <n v="30"/>
    <n v="90"/>
    <n v="1.3499999999999999"/>
    <n v="1.8"/>
    <n v="1.3499999999999999"/>
  </r>
  <r>
    <n v="295"/>
    <x v="0"/>
    <n v="7"/>
    <n v="28"/>
    <s v="Friday"/>
    <s v="July"/>
    <x v="180"/>
    <s v="CUST295"/>
    <x v="1"/>
    <x v="1"/>
    <n v="27"/>
    <x v="0"/>
    <n v="3"/>
    <n v="300"/>
    <n v="900"/>
    <n v="13.5"/>
    <n v="18"/>
    <n v="13.5"/>
  </r>
  <r>
    <n v="296"/>
    <x v="0"/>
    <n v="9"/>
    <n v="6"/>
    <s v="Wednesday"/>
    <s v="September"/>
    <x v="147"/>
    <s v="CUST296"/>
    <x v="1"/>
    <x v="1"/>
    <n v="22"/>
    <x v="1"/>
    <n v="4"/>
    <n v="300"/>
    <n v="1200"/>
    <n v="18"/>
    <n v="24"/>
    <n v="18"/>
  </r>
  <r>
    <n v="297"/>
    <x v="0"/>
    <n v="9"/>
    <n v="4"/>
    <s v="Monday"/>
    <s v="September"/>
    <x v="201"/>
    <s v="CUST297"/>
    <x v="1"/>
    <x v="0"/>
    <n v="40"/>
    <x v="2"/>
    <n v="2"/>
    <n v="500"/>
    <n v="1000"/>
    <n v="15"/>
    <n v="20"/>
    <n v="15"/>
  </r>
  <r>
    <n v="298"/>
    <x v="0"/>
    <n v="4"/>
    <n v="20"/>
    <s v="Thursday"/>
    <s v="April"/>
    <x v="175"/>
    <s v="CUST298"/>
    <x v="0"/>
    <x v="1"/>
    <n v="27"/>
    <x v="0"/>
    <n v="4"/>
    <n v="300"/>
    <n v="1200"/>
    <n v="18"/>
    <n v="24"/>
    <n v="18"/>
  </r>
  <r>
    <n v="299"/>
    <x v="0"/>
    <n v="7"/>
    <n v="25"/>
    <s v="Tuesday"/>
    <s v="July"/>
    <x v="87"/>
    <s v="CUST299"/>
    <x v="0"/>
    <x v="2"/>
    <n v="61"/>
    <x v="2"/>
    <n v="2"/>
    <n v="500"/>
    <n v="1000"/>
    <n v="15"/>
    <n v="20"/>
    <n v="15"/>
  </r>
  <r>
    <n v="300"/>
    <x v="0"/>
    <n v="1"/>
    <n v="31"/>
    <s v="Tuesday"/>
    <s v="January"/>
    <x v="169"/>
    <s v="CUST300"/>
    <x v="1"/>
    <x v="1"/>
    <n v="19"/>
    <x v="2"/>
    <n v="4"/>
    <n v="50"/>
    <n v="200"/>
    <n v="3"/>
    <n v="4"/>
    <n v="3"/>
  </r>
  <r>
    <n v="301"/>
    <x v="0"/>
    <n v="3"/>
    <n v="26"/>
    <s v="Sunday"/>
    <s v="March"/>
    <x v="154"/>
    <s v="CUST301"/>
    <x v="0"/>
    <x v="0"/>
    <n v="30"/>
    <x v="1"/>
    <n v="4"/>
    <n v="30"/>
    <n v="120"/>
    <n v="1.7999999999999998"/>
    <n v="2.4"/>
    <n v="1.7999999999999998"/>
  </r>
  <r>
    <n v="302"/>
    <x v="0"/>
    <n v="7"/>
    <n v="14"/>
    <s v="Friday"/>
    <s v="July"/>
    <x v="37"/>
    <s v="CUST302"/>
    <x v="0"/>
    <x v="2"/>
    <n v="57"/>
    <x v="0"/>
    <n v="2"/>
    <n v="300"/>
    <n v="600"/>
    <n v="9"/>
    <n v="12"/>
    <n v="9"/>
  </r>
  <r>
    <n v="303"/>
    <x v="0"/>
    <n v="1"/>
    <n v="2"/>
    <s v="Monday"/>
    <s v="January"/>
    <x v="126"/>
    <s v="CUST303"/>
    <x v="0"/>
    <x v="1"/>
    <n v="19"/>
    <x v="2"/>
    <n v="3"/>
    <n v="30"/>
    <n v="90"/>
    <n v="1.3499999999999999"/>
    <n v="1.8"/>
    <n v="1.3499999999999999"/>
  </r>
  <r>
    <n v="304"/>
    <x v="0"/>
    <n v="7"/>
    <n v="19"/>
    <s v="Wednesday"/>
    <s v="July"/>
    <x v="202"/>
    <s v="CUST304"/>
    <x v="1"/>
    <x v="0"/>
    <n v="37"/>
    <x v="2"/>
    <n v="2"/>
    <n v="30"/>
    <n v="60"/>
    <n v="0.89999999999999991"/>
    <n v="1.2"/>
    <n v="0.89999999999999991"/>
  </r>
  <r>
    <n v="305"/>
    <x v="0"/>
    <n v="5"/>
    <n v="16"/>
    <s v="Tuesday"/>
    <s v="May"/>
    <x v="42"/>
    <s v="CUST305"/>
    <x v="1"/>
    <x v="1"/>
    <n v="18"/>
    <x v="0"/>
    <n v="1"/>
    <n v="30"/>
    <n v="30"/>
    <n v="0.44999999999999996"/>
    <n v="0.6"/>
    <n v="0.44999999999999996"/>
  </r>
  <r>
    <n v="306"/>
    <x v="0"/>
    <n v="8"/>
    <n v="21"/>
    <s v="Monday"/>
    <s v="August"/>
    <x v="63"/>
    <s v="CUST306"/>
    <x v="0"/>
    <x v="2"/>
    <n v="54"/>
    <x v="2"/>
    <n v="1"/>
    <n v="50"/>
    <n v="50"/>
    <n v="0.75"/>
    <n v="1"/>
    <n v="0.75"/>
  </r>
  <r>
    <n v="307"/>
    <x v="0"/>
    <n v="5"/>
    <n v="27"/>
    <s v="Saturday"/>
    <s v="May"/>
    <x v="203"/>
    <s v="CUST307"/>
    <x v="1"/>
    <x v="1"/>
    <n v="26"/>
    <x v="2"/>
    <n v="2"/>
    <n v="25"/>
    <n v="50"/>
    <n v="0.75"/>
    <n v="1"/>
    <n v="0.75"/>
  </r>
  <r>
    <n v="308"/>
    <x v="0"/>
    <n v="8"/>
    <n v="5"/>
    <s v="Saturday"/>
    <s v="August"/>
    <x v="12"/>
    <s v="CUST308"/>
    <x v="1"/>
    <x v="0"/>
    <n v="34"/>
    <x v="0"/>
    <n v="4"/>
    <n v="300"/>
    <n v="1200"/>
    <n v="18"/>
    <n v="24"/>
    <n v="18"/>
  </r>
  <r>
    <n v="309"/>
    <x v="0"/>
    <n v="12"/>
    <n v="23"/>
    <s v="Saturday"/>
    <s v="December"/>
    <x v="204"/>
    <s v="CUST309"/>
    <x v="1"/>
    <x v="1"/>
    <n v="26"/>
    <x v="0"/>
    <n v="1"/>
    <n v="25"/>
    <n v="25"/>
    <n v="0.375"/>
    <n v="0.5"/>
    <n v="0.375"/>
  </r>
  <r>
    <n v="310"/>
    <x v="0"/>
    <n v="10"/>
    <n v="12"/>
    <s v="Thursday"/>
    <s v="October"/>
    <x v="205"/>
    <s v="CUST310"/>
    <x v="1"/>
    <x v="1"/>
    <n v="28"/>
    <x v="0"/>
    <n v="1"/>
    <n v="25"/>
    <n v="25"/>
    <n v="0.375"/>
    <n v="0.5"/>
    <n v="0.375"/>
  </r>
  <r>
    <n v="311"/>
    <x v="0"/>
    <n v="12"/>
    <n v="5"/>
    <s v="Tuesday"/>
    <s v="December"/>
    <x v="59"/>
    <s v="CUST311"/>
    <x v="1"/>
    <x v="0"/>
    <n v="32"/>
    <x v="0"/>
    <n v="4"/>
    <n v="25"/>
    <n v="100"/>
    <n v="1.5"/>
    <n v="2"/>
    <n v="1.5"/>
  </r>
  <r>
    <n v="312"/>
    <x v="0"/>
    <n v="9"/>
    <n v="7"/>
    <s v="Thursday"/>
    <s v="September"/>
    <x v="206"/>
    <s v="CUST312"/>
    <x v="0"/>
    <x v="0"/>
    <n v="41"/>
    <x v="1"/>
    <n v="4"/>
    <n v="30"/>
    <n v="120"/>
    <n v="1.7999999999999998"/>
    <n v="2.4"/>
    <n v="1.7999999999999998"/>
  </r>
  <r>
    <n v="313"/>
    <x v="0"/>
    <n v="3"/>
    <n v="21"/>
    <s v="Tuesday"/>
    <s v="March"/>
    <x v="34"/>
    <s v="CUST313"/>
    <x v="1"/>
    <x v="2"/>
    <n v="55"/>
    <x v="0"/>
    <n v="3"/>
    <n v="500"/>
    <n v="1500"/>
    <n v="22.5"/>
    <n v="30"/>
    <n v="22.5"/>
  </r>
  <r>
    <n v="314"/>
    <x v="0"/>
    <n v="4"/>
    <n v="8"/>
    <s v="Saturday"/>
    <s v="April"/>
    <x v="181"/>
    <s v="CUST314"/>
    <x v="0"/>
    <x v="2"/>
    <n v="52"/>
    <x v="1"/>
    <n v="4"/>
    <n v="30"/>
    <n v="120"/>
    <n v="1.7999999999999998"/>
    <n v="2.4"/>
    <n v="1.7999999999999998"/>
  </r>
  <r>
    <n v="315"/>
    <x v="0"/>
    <n v="6"/>
    <n v="1"/>
    <s v="Thursday"/>
    <s v="June"/>
    <x v="207"/>
    <s v="CUST315"/>
    <x v="0"/>
    <x v="0"/>
    <n v="47"/>
    <x v="1"/>
    <n v="2"/>
    <n v="30"/>
    <n v="60"/>
    <n v="0.89999999999999991"/>
    <n v="1.2"/>
    <n v="0.89999999999999991"/>
  </r>
  <r>
    <n v="316"/>
    <x v="0"/>
    <n v="4"/>
    <n v="22"/>
    <s v="Saturday"/>
    <s v="April"/>
    <x v="16"/>
    <s v="CUST316"/>
    <x v="1"/>
    <x v="0"/>
    <n v="48"/>
    <x v="1"/>
    <n v="2"/>
    <n v="25"/>
    <n v="50"/>
    <n v="0.75"/>
    <n v="1"/>
    <n v="0.75"/>
  </r>
  <r>
    <n v="317"/>
    <x v="0"/>
    <n v="1"/>
    <n v="30"/>
    <s v="Monday"/>
    <s v="January"/>
    <x v="144"/>
    <s v="CUST317"/>
    <x v="0"/>
    <x v="1"/>
    <n v="22"/>
    <x v="2"/>
    <n v="3"/>
    <n v="30"/>
    <n v="90"/>
    <n v="1.3499999999999999"/>
    <n v="1.8"/>
    <n v="1.3499999999999999"/>
  </r>
  <r>
    <n v="318"/>
    <x v="0"/>
    <n v="10"/>
    <n v="24"/>
    <s v="Tuesday"/>
    <s v="October"/>
    <x v="208"/>
    <s v="CUST318"/>
    <x v="0"/>
    <x v="2"/>
    <n v="61"/>
    <x v="1"/>
    <n v="1"/>
    <n v="25"/>
    <n v="25"/>
    <n v="0.375"/>
    <n v="0.5"/>
    <n v="0.375"/>
  </r>
  <r>
    <n v="319"/>
    <x v="0"/>
    <n v="10"/>
    <n v="5"/>
    <s v="Thursday"/>
    <s v="October"/>
    <x v="209"/>
    <s v="CUST319"/>
    <x v="0"/>
    <x v="0"/>
    <n v="31"/>
    <x v="1"/>
    <n v="1"/>
    <n v="500"/>
    <n v="500"/>
    <n v="7.5"/>
    <n v="10"/>
    <n v="7.5"/>
  </r>
  <r>
    <n v="320"/>
    <x v="0"/>
    <n v="2"/>
    <n v="1"/>
    <s v="Wednesday"/>
    <s v="February"/>
    <x v="190"/>
    <s v="CUST320"/>
    <x v="1"/>
    <x v="1"/>
    <n v="28"/>
    <x v="2"/>
    <n v="4"/>
    <n v="300"/>
    <n v="1200"/>
    <n v="18"/>
    <n v="24"/>
    <n v="18"/>
  </r>
  <r>
    <n v="321"/>
    <x v="0"/>
    <n v="6"/>
    <n v="10"/>
    <s v="Saturday"/>
    <s v="June"/>
    <x v="210"/>
    <s v="CUST321"/>
    <x v="1"/>
    <x v="1"/>
    <n v="26"/>
    <x v="2"/>
    <n v="2"/>
    <n v="25"/>
    <n v="50"/>
    <n v="0.75"/>
    <n v="1"/>
    <n v="0.75"/>
  </r>
  <r>
    <n v="322"/>
    <x v="0"/>
    <n v="1"/>
    <n v="30"/>
    <s v="Monday"/>
    <s v="January"/>
    <x v="144"/>
    <s v="CUST322"/>
    <x v="0"/>
    <x v="2"/>
    <n v="51"/>
    <x v="2"/>
    <n v="1"/>
    <n v="500"/>
    <n v="500"/>
    <n v="7.5"/>
    <n v="10"/>
    <n v="7.5"/>
  </r>
  <r>
    <n v="323"/>
    <x v="0"/>
    <n v="1"/>
    <n v="26"/>
    <s v="Thursday"/>
    <s v="January"/>
    <x v="197"/>
    <s v="CUST323"/>
    <x v="1"/>
    <x v="1"/>
    <n v="29"/>
    <x v="0"/>
    <n v="3"/>
    <n v="300"/>
    <n v="900"/>
    <n v="13.5"/>
    <n v="18"/>
    <n v="13.5"/>
  </r>
  <r>
    <n v="324"/>
    <x v="0"/>
    <n v="10"/>
    <n v="27"/>
    <s v="Friday"/>
    <s v="October"/>
    <x v="101"/>
    <s v="CUST324"/>
    <x v="1"/>
    <x v="2"/>
    <n v="52"/>
    <x v="2"/>
    <n v="3"/>
    <n v="50"/>
    <n v="150"/>
    <n v="2.25"/>
    <n v="3"/>
    <n v="2.25"/>
  </r>
  <r>
    <n v="325"/>
    <x v="0"/>
    <n v="9"/>
    <n v="2"/>
    <s v="Saturday"/>
    <s v="September"/>
    <x v="211"/>
    <s v="CUST325"/>
    <x v="1"/>
    <x v="2"/>
    <n v="52"/>
    <x v="2"/>
    <n v="2"/>
    <n v="25"/>
    <n v="50"/>
    <n v="0.75"/>
    <n v="1"/>
    <n v="0.75"/>
  </r>
  <r>
    <n v="326"/>
    <x v="0"/>
    <n v="9"/>
    <n v="15"/>
    <s v="Friday"/>
    <s v="September"/>
    <x v="212"/>
    <s v="CUST326"/>
    <x v="1"/>
    <x v="1"/>
    <n v="18"/>
    <x v="1"/>
    <n v="3"/>
    <n v="25"/>
    <n v="75"/>
    <n v="1.125"/>
    <n v="1.5"/>
    <n v="1.125"/>
  </r>
  <r>
    <n v="327"/>
    <x v="0"/>
    <n v="9"/>
    <n v="29"/>
    <s v="Friday"/>
    <s v="September"/>
    <x v="136"/>
    <s v="CUST327"/>
    <x v="0"/>
    <x v="2"/>
    <n v="57"/>
    <x v="2"/>
    <n v="3"/>
    <n v="50"/>
    <n v="150"/>
    <n v="2.25"/>
    <n v="3"/>
    <n v="2.25"/>
  </r>
  <r>
    <n v="328"/>
    <x v="0"/>
    <n v="3"/>
    <n v="22"/>
    <s v="Wednesday"/>
    <s v="March"/>
    <x v="125"/>
    <s v="CUST328"/>
    <x v="0"/>
    <x v="0"/>
    <n v="39"/>
    <x v="0"/>
    <n v="2"/>
    <n v="50"/>
    <n v="100"/>
    <n v="1.5"/>
    <n v="2"/>
    <n v="1.5"/>
  </r>
  <r>
    <n v="329"/>
    <x v="0"/>
    <n v="1"/>
    <n v="30"/>
    <s v="Monday"/>
    <s v="January"/>
    <x v="144"/>
    <s v="CUST329"/>
    <x v="1"/>
    <x v="0"/>
    <n v="46"/>
    <x v="2"/>
    <n v="4"/>
    <n v="25"/>
    <n v="100"/>
    <n v="1.5"/>
    <n v="2"/>
    <n v="1.5"/>
  </r>
  <r>
    <n v="330"/>
    <x v="0"/>
    <n v="9"/>
    <n v="18"/>
    <s v="Monday"/>
    <s v="September"/>
    <x v="106"/>
    <s v="CUST330"/>
    <x v="1"/>
    <x v="1"/>
    <n v="25"/>
    <x v="0"/>
    <n v="4"/>
    <n v="50"/>
    <n v="200"/>
    <n v="3"/>
    <n v="4"/>
    <n v="3"/>
  </r>
  <r>
    <n v="331"/>
    <x v="0"/>
    <n v="2"/>
    <n v="11"/>
    <s v="Saturday"/>
    <s v="February"/>
    <x v="213"/>
    <s v="CUST331"/>
    <x v="0"/>
    <x v="1"/>
    <n v="28"/>
    <x v="2"/>
    <n v="3"/>
    <n v="30"/>
    <n v="90"/>
    <n v="1.3499999999999999"/>
    <n v="1.8"/>
    <n v="1.3499999999999999"/>
  </r>
  <r>
    <n v="332"/>
    <x v="0"/>
    <n v="4"/>
    <n v="6"/>
    <s v="Thursday"/>
    <s v="April"/>
    <x v="214"/>
    <s v="CUST332"/>
    <x v="0"/>
    <x v="2"/>
    <n v="58"/>
    <x v="2"/>
    <n v="4"/>
    <n v="300"/>
    <n v="1200"/>
    <n v="18"/>
    <n v="24"/>
    <n v="18"/>
  </r>
  <r>
    <n v="333"/>
    <x v="0"/>
    <n v="2"/>
    <n v="5"/>
    <s v="Sunday"/>
    <s v="February"/>
    <x v="57"/>
    <s v="CUST333"/>
    <x v="1"/>
    <x v="2"/>
    <n v="54"/>
    <x v="2"/>
    <n v="4"/>
    <n v="300"/>
    <n v="1200"/>
    <n v="18"/>
    <n v="24"/>
    <n v="18"/>
  </r>
  <r>
    <n v="334"/>
    <x v="0"/>
    <n v="11"/>
    <n v="1"/>
    <s v="Wednesday"/>
    <s v="November"/>
    <x v="215"/>
    <s v="CUST334"/>
    <x v="0"/>
    <x v="0"/>
    <n v="31"/>
    <x v="2"/>
    <n v="3"/>
    <n v="300"/>
    <n v="900"/>
    <n v="13.5"/>
    <n v="18"/>
    <n v="13.5"/>
  </r>
  <r>
    <n v="335"/>
    <x v="0"/>
    <n v="2"/>
    <n v="4"/>
    <s v="Saturday"/>
    <s v="February"/>
    <x v="170"/>
    <s v="CUST335"/>
    <x v="1"/>
    <x v="0"/>
    <n v="47"/>
    <x v="0"/>
    <n v="4"/>
    <n v="30"/>
    <n v="120"/>
    <n v="1.7999999999999998"/>
    <n v="2.4"/>
    <n v="1.7999999999999998"/>
  </r>
  <r>
    <n v="336"/>
    <x v="0"/>
    <n v="12"/>
    <n v="12"/>
    <s v="Tuesday"/>
    <s v="December"/>
    <x v="216"/>
    <s v="CUST336"/>
    <x v="1"/>
    <x v="2"/>
    <n v="52"/>
    <x v="0"/>
    <n v="3"/>
    <n v="50"/>
    <n v="150"/>
    <n v="2.25"/>
    <n v="3"/>
    <n v="2.25"/>
  </r>
  <r>
    <n v="337"/>
    <x v="0"/>
    <n v="5"/>
    <n v="1"/>
    <s v="Monday"/>
    <s v="May"/>
    <x v="217"/>
    <s v="CUST337"/>
    <x v="0"/>
    <x v="0"/>
    <n v="38"/>
    <x v="1"/>
    <n v="1"/>
    <n v="500"/>
    <n v="500"/>
    <n v="7.5"/>
    <n v="10"/>
    <n v="7.5"/>
  </r>
  <r>
    <n v="338"/>
    <x v="0"/>
    <n v="7"/>
    <n v="26"/>
    <s v="Wednesday"/>
    <s v="July"/>
    <x v="191"/>
    <s v="CUST338"/>
    <x v="0"/>
    <x v="2"/>
    <n v="54"/>
    <x v="0"/>
    <n v="2"/>
    <n v="50"/>
    <n v="100"/>
    <n v="1.5"/>
    <n v="2"/>
    <n v="1.5"/>
  </r>
  <r>
    <n v="339"/>
    <x v="0"/>
    <n v="3"/>
    <n v="3"/>
    <s v="Friday"/>
    <s v="March"/>
    <x v="163"/>
    <s v="CUST339"/>
    <x v="1"/>
    <x v="1"/>
    <n v="22"/>
    <x v="2"/>
    <n v="2"/>
    <n v="25"/>
    <n v="50"/>
    <n v="0.75"/>
    <n v="1"/>
    <n v="0.75"/>
  </r>
  <r>
    <n v="340"/>
    <x v="0"/>
    <n v="10"/>
    <n v="19"/>
    <s v="Thursday"/>
    <s v="October"/>
    <x v="218"/>
    <s v="CUST340"/>
    <x v="1"/>
    <x v="0"/>
    <n v="36"/>
    <x v="1"/>
    <n v="4"/>
    <n v="300"/>
    <n v="1200"/>
    <n v="18"/>
    <n v="24"/>
    <n v="18"/>
  </r>
  <r>
    <n v="341"/>
    <x v="0"/>
    <n v="5"/>
    <n v="7"/>
    <s v="Sunday"/>
    <s v="May"/>
    <x v="98"/>
    <s v="CUST341"/>
    <x v="0"/>
    <x v="0"/>
    <n v="31"/>
    <x v="1"/>
    <n v="4"/>
    <n v="50"/>
    <n v="200"/>
    <n v="3"/>
    <n v="4"/>
    <n v="3"/>
  </r>
  <r>
    <n v="342"/>
    <x v="0"/>
    <n v="10"/>
    <n v="24"/>
    <s v="Tuesday"/>
    <s v="October"/>
    <x v="208"/>
    <s v="CUST342"/>
    <x v="1"/>
    <x v="0"/>
    <n v="43"/>
    <x v="1"/>
    <n v="4"/>
    <n v="500"/>
    <n v="2000"/>
    <n v="30"/>
    <n v="40"/>
    <n v="30"/>
  </r>
  <r>
    <n v="343"/>
    <x v="0"/>
    <n v="11"/>
    <n v="1"/>
    <s v="Wednesday"/>
    <s v="November"/>
    <x v="215"/>
    <s v="CUST343"/>
    <x v="0"/>
    <x v="1"/>
    <n v="21"/>
    <x v="2"/>
    <n v="2"/>
    <n v="25"/>
    <n v="50"/>
    <n v="0.75"/>
    <n v="1"/>
    <n v="0.75"/>
  </r>
  <r>
    <n v="344"/>
    <x v="0"/>
    <n v="1"/>
    <n v="21"/>
    <s v="Saturday"/>
    <s v="January"/>
    <x v="219"/>
    <s v="CUST344"/>
    <x v="1"/>
    <x v="0"/>
    <n v="42"/>
    <x v="0"/>
    <n v="1"/>
    <n v="30"/>
    <n v="30"/>
    <n v="0.44999999999999996"/>
    <n v="0.6"/>
    <n v="0.44999999999999996"/>
  </r>
  <r>
    <n v="345"/>
    <x v="0"/>
    <n v="11"/>
    <n v="14"/>
    <s v="Tuesday"/>
    <s v="November"/>
    <x v="220"/>
    <s v="CUST345"/>
    <x v="0"/>
    <x v="2"/>
    <n v="62"/>
    <x v="2"/>
    <n v="1"/>
    <n v="30"/>
    <n v="30"/>
    <n v="0.44999999999999996"/>
    <n v="0.6"/>
    <n v="0.44999999999999996"/>
  </r>
  <r>
    <n v="346"/>
    <x v="0"/>
    <n v="2"/>
    <n v="11"/>
    <s v="Saturday"/>
    <s v="February"/>
    <x v="213"/>
    <s v="CUST346"/>
    <x v="0"/>
    <x v="2"/>
    <n v="59"/>
    <x v="1"/>
    <n v="2"/>
    <n v="500"/>
    <n v="1000"/>
    <n v="15"/>
    <n v="20"/>
    <n v="15"/>
  </r>
  <r>
    <n v="347"/>
    <x v="0"/>
    <n v="8"/>
    <n v="3"/>
    <s v="Thursday"/>
    <s v="August"/>
    <x v="25"/>
    <s v="CUST347"/>
    <x v="0"/>
    <x v="0"/>
    <n v="42"/>
    <x v="2"/>
    <n v="1"/>
    <n v="25"/>
    <n v="25"/>
    <n v="0.375"/>
    <n v="0.5"/>
    <n v="0.375"/>
  </r>
  <r>
    <n v="348"/>
    <x v="0"/>
    <n v="12"/>
    <n v="3"/>
    <s v="Sunday"/>
    <s v="December"/>
    <x v="221"/>
    <s v="CUST348"/>
    <x v="1"/>
    <x v="0"/>
    <n v="35"/>
    <x v="2"/>
    <n v="2"/>
    <n v="300"/>
    <n v="600"/>
    <n v="9"/>
    <n v="12"/>
    <n v="9"/>
  </r>
  <r>
    <n v="349"/>
    <x v="0"/>
    <n v="10"/>
    <n v="26"/>
    <s v="Thursday"/>
    <s v="October"/>
    <x v="103"/>
    <s v="CUST349"/>
    <x v="1"/>
    <x v="2"/>
    <n v="57"/>
    <x v="0"/>
    <n v="1"/>
    <n v="50"/>
    <n v="50"/>
    <n v="0.75"/>
    <n v="1"/>
    <n v="0.75"/>
  </r>
  <r>
    <n v="350"/>
    <x v="0"/>
    <n v="10"/>
    <n v="17"/>
    <s v="Tuesday"/>
    <s v="October"/>
    <x v="222"/>
    <s v="CUST350"/>
    <x v="0"/>
    <x v="1"/>
    <n v="25"/>
    <x v="0"/>
    <n v="3"/>
    <n v="25"/>
    <n v="75"/>
    <n v="1.125"/>
    <n v="1.5"/>
    <n v="1.125"/>
  </r>
  <r>
    <n v="351"/>
    <x v="0"/>
    <n v="9"/>
    <n v="25"/>
    <s v="Monday"/>
    <s v="September"/>
    <x v="223"/>
    <s v="CUST351"/>
    <x v="1"/>
    <x v="2"/>
    <n v="56"/>
    <x v="1"/>
    <n v="3"/>
    <n v="30"/>
    <n v="90"/>
    <n v="1.3499999999999999"/>
    <n v="1.8"/>
    <n v="1.3499999999999999"/>
  </r>
  <r>
    <n v="352"/>
    <x v="0"/>
    <n v="6"/>
    <n v="11"/>
    <s v="Sunday"/>
    <s v="June"/>
    <x v="86"/>
    <s v="CUST352"/>
    <x v="0"/>
    <x v="2"/>
    <n v="57"/>
    <x v="2"/>
    <n v="2"/>
    <n v="500"/>
    <n v="1000"/>
    <n v="15"/>
    <n v="20"/>
    <n v="15"/>
  </r>
  <r>
    <n v="353"/>
    <x v="0"/>
    <n v="5"/>
    <n v="14"/>
    <s v="Sunday"/>
    <s v="May"/>
    <x v="224"/>
    <s v="CUST353"/>
    <x v="0"/>
    <x v="0"/>
    <n v="31"/>
    <x v="2"/>
    <n v="1"/>
    <n v="500"/>
    <n v="500"/>
    <n v="7.5"/>
    <n v="10"/>
    <n v="7.5"/>
  </r>
  <r>
    <n v="354"/>
    <x v="0"/>
    <n v="4"/>
    <n v="15"/>
    <s v="Saturday"/>
    <s v="April"/>
    <x v="225"/>
    <s v="CUST354"/>
    <x v="1"/>
    <x v="0"/>
    <n v="49"/>
    <x v="0"/>
    <n v="4"/>
    <n v="50"/>
    <n v="200"/>
    <n v="3"/>
    <n v="4"/>
    <n v="3"/>
  </r>
  <r>
    <n v="355"/>
    <x v="0"/>
    <n v="12"/>
    <n v="9"/>
    <s v="Saturday"/>
    <s v="December"/>
    <x v="174"/>
    <s v="CUST355"/>
    <x v="1"/>
    <x v="2"/>
    <n v="55"/>
    <x v="2"/>
    <n v="1"/>
    <n v="500"/>
    <n v="500"/>
    <n v="7.5"/>
    <n v="10"/>
    <n v="7.5"/>
  </r>
  <r>
    <n v="356"/>
    <x v="0"/>
    <n v="6"/>
    <n v="10"/>
    <s v="Saturday"/>
    <s v="June"/>
    <x v="210"/>
    <s v="CUST356"/>
    <x v="0"/>
    <x v="2"/>
    <n v="50"/>
    <x v="2"/>
    <n v="3"/>
    <n v="500"/>
    <n v="1500"/>
    <n v="22.5"/>
    <n v="30"/>
    <n v="22.5"/>
  </r>
  <r>
    <n v="357"/>
    <x v="0"/>
    <n v="5"/>
    <n v="3"/>
    <s v="Wednesday"/>
    <s v="May"/>
    <x v="143"/>
    <s v="CUST357"/>
    <x v="1"/>
    <x v="0"/>
    <n v="40"/>
    <x v="2"/>
    <n v="3"/>
    <n v="25"/>
    <n v="75"/>
    <n v="1.125"/>
    <n v="1.5"/>
    <n v="1.125"/>
  </r>
  <r>
    <n v="358"/>
    <x v="0"/>
    <n v="5"/>
    <n v="16"/>
    <s v="Tuesday"/>
    <s v="May"/>
    <x v="42"/>
    <s v="CUST358"/>
    <x v="1"/>
    <x v="0"/>
    <n v="32"/>
    <x v="0"/>
    <n v="1"/>
    <n v="300"/>
    <n v="300"/>
    <n v="4.5"/>
    <n v="6"/>
    <n v="4.5"/>
  </r>
  <r>
    <n v="359"/>
    <x v="0"/>
    <n v="7"/>
    <n v="22"/>
    <s v="Saturday"/>
    <s v="July"/>
    <x v="94"/>
    <s v="CUST359"/>
    <x v="0"/>
    <x v="2"/>
    <n v="50"/>
    <x v="1"/>
    <n v="1"/>
    <n v="50"/>
    <n v="50"/>
    <n v="0.75"/>
    <n v="1"/>
    <n v="0.75"/>
  </r>
  <r>
    <n v="360"/>
    <x v="0"/>
    <n v="3"/>
    <n v="9"/>
    <s v="Thursday"/>
    <s v="March"/>
    <x v="176"/>
    <s v="CUST360"/>
    <x v="0"/>
    <x v="0"/>
    <n v="42"/>
    <x v="1"/>
    <n v="4"/>
    <n v="25"/>
    <n v="100"/>
    <n v="1.5"/>
    <n v="2"/>
    <n v="1.5"/>
  </r>
  <r>
    <n v="361"/>
    <x v="0"/>
    <n v="12"/>
    <n v="10"/>
    <s v="Sunday"/>
    <s v="December"/>
    <x v="70"/>
    <s v="CUST361"/>
    <x v="1"/>
    <x v="0"/>
    <n v="34"/>
    <x v="2"/>
    <n v="4"/>
    <n v="300"/>
    <n v="1200"/>
    <n v="18"/>
    <n v="24"/>
    <n v="18"/>
  </r>
  <r>
    <n v="362"/>
    <x v="0"/>
    <n v="11"/>
    <n v="27"/>
    <s v="Monday"/>
    <s v="November"/>
    <x v="188"/>
    <s v="CUST362"/>
    <x v="0"/>
    <x v="2"/>
    <n v="50"/>
    <x v="1"/>
    <n v="1"/>
    <n v="25"/>
    <n v="25"/>
    <n v="0.375"/>
    <n v="0.5"/>
    <n v="0.375"/>
  </r>
  <r>
    <n v="363"/>
    <x v="0"/>
    <n v="6"/>
    <n v="3"/>
    <s v="Saturday"/>
    <s v="June"/>
    <x v="226"/>
    <s v="CUST363"/>
    <x v="0"/>
    <x v="2"/>
    <n v="64"/>
    <x v="0"/>
    <n v="1"/>
    <n v="25"/>
    <n v="25"/>
    <n v="0.375"/>
    <n v="0.5"/>
    <n v="0.375"/>
  </r>
  <r>
    <n v="364"/>
    <x v="0"/>
    <n v="8"/>
    <n v="23"/>
    <s v="Wednesday"/>
    <s v="August"/>
    <x v="96"/>
    <s v="CUST364"/>
    <x v="1"/>
    <x v="1"/>
    <n v="19"/>
    <x v="0"/>
    <n v="1"/>
    <n v="500"/>
    <n v="500"/>
    <n v="7.5"/>
    <n v="10"/>
    <n v="7.5"/>
  </r>
  <r>
    <n v="365"/>
    <x v="0"/>
    <n v="6"/>
    <n v="11"/>
    <s v="Sunday"/>
    <s v="June"/>
    <x v="86"/>
    <s v="CUST365"/>
    <x v="0"/>
    <x v="0"/>
    <n v="31"/>
    <x v="1"/>
    <n v="1"/>
    <n v="300"/>
    <n v="300"/>
    <n v="4.5"/>
    <n v="6"/>
    <n v="4.5"/>
  </r>
  <r>
    <n v="366"/>
    <x v="0"/>
    <n v="2"/>
    <n v="7"/>
    <s v="Tuesday"/>
    <s v="February"/>
    <x v="227"/>
    <s v="CUST366"/>
    <x v="0"/>
    <x v="2"/>
    <n v="57"/>
    <x v="1"/>
    <n v="2"/>
    <n v="50"/>
    <n v="100"/>
    <n v="1.5"/>
    <n v="2"/>
    <n v="1.5"/>
  </r>
  <r>
    <n v="367"/>
    <x v="0"/>
    <n v="1"/>
    <n v="5"/>
    <s v="Thursday"/>
    <s v="January"/>
    <x v="228"/>
    <s v="CUST367"/>
    <x v="1"/>
    <x v="2"/>
    <n v="57"/>
    <x v="2"/>
    <n v="1"/>
    <n v="50"/>
    <n v="50"/>
    <n v="0.75"/>
    <n v="1"/>
    <n v="0.75"/>
  </r>
  <r>
    <n v="368"/>
    <x v="0"/>
    <n v="8"/>
    <n v="23"/>
    <s v="Wednesday"/>
    <s v="August"/>
    <x v="96"/>
    <s v="CUST368"/>
    <x v="1"/>
    <x v="2"/>
    <n v="56"/>
    <x v="1"/>
    <n v="4"/>
    <n v="300"/>
    <n v="1200"/>
    <n v="18"/>
    <n v="24"/>
    <n v="18"/>
  </r>
  <r>
    <n v="369"/>
    <x v="0"/>
    <n v="11"/>
    <n v="15"/>
    <s v="Wednesday"/>
    <s v="November"/>
    <x v="229"/>
    <s v="CUST369"/>
    <x v="0"/>
    <x v="1"/>
    <n v="23"/>
    <x v="2"/>
    <n v="3"/>
    <n v="500"/>
    <n v="1500"/>
    <n v="22.5"/>
    <n v="30"/>
    <n v="22.5"/>
  </r>
  <r>
    <n v="370"/>
    <x v="0"/>
    <n v="10"/>
    <n v="16"/>
    <s v="Monday"/>
    <s v="October"/>
    <x v="230"/>
    <s v="CUST370"/>
    <x v="0"/>
    <x v="1"/>
    <n v="23"/>
    <x v="2"/>
    <n v="2"/>
    <n v="30"/>
    <n v="60"/>
    <n v="0.89999999999999991"/>
    <n v="1.2"/>
    <n v="0.89999999999999991"/>
  </r>
  <r>
    <n v="371"/>
    <x v="0"/>
    <n v="2"/>
    <n v="21"/>
    <s v="Tuesday"/>
    <s v="February"/>
    <x v="62"/>
    <s v="CUST371"/>
    <x v="1"/>
    <x v="1"/>
    <n v="20"/>
    <x v="0"/>
    <n v="1"/>
    <n v="25"/>
    <n v="25"/>
    <n v="0.375"/>
    <n v="0.5"/>
    <n v="0.375"/>
  </r>
  <r>
    <n v="372"/>
    <x v="0"/>
    <n v="2"/>
    <n v="7"/>
    <s v="Tuesday"/>
    <s v="February"/>
    <x v="227"/>
    <s v="CUST372"/>
    <x v="1"/>
    <x v="1"/>
    <n v="24"/>
    <x v="0"/>
    <n v="3"/>
    <n v="500"/>
    <n v="1500"/>
    <n v="22.5"/>
    <n v="30"/>
    <n v="22.5"/>
  </r>
  <r>
    <n v="373"/>
    <x v="0"/>
    <n v="10"/>
    <n v="3"/>
    <s v="Tuesday"/>
    <s v="October"/>
    <x v="99"/>
    <s v="CUST373"/>
    <x v="1"/>
    <x v="1"/>
    <n v="25"/>
    <x v="0"/>
    <n v="2"/>
    <n v="300"/>
    <n v="600"/>
    <n v="9"/>
    <n v="12"/>
    <n v="9"/>
  </r>
  <r>
    <n v="374"/>
    <x v="0"/>
    <n v="4"/>
    <n v="20"/>
    <s v="Thursday"/>
    <s v="April"/>
    <x v="175"/>
    <s v="CUST374"/>
    <x v="1"/>
    <x v="2"/>
    <n v="59"/>
    <x v="0"/>
    <n v="3"/>
    <n v="25"/>
    <n v="75"/>
    <n v="1.125"/>
    <n v="1.5"/>
    <n v="1.125"/>
  </r>
  <r>
    <n v="375"/>
    <x v="0"/>
    <n v="9"/>
    <n v="17"/>
    <s v="Sunday"/>
    <s v="September"/>
    <x v="129"/>
    <s v="CUST375"/>
    <x v="0"/>
    <x v="0"/>
    <n v="32"/>
    <x v="1"/>
    <n v="1"/>
    <n v="50"/>
    <n v="50"/>
    <n v="0.75"/>
    <n v="1"/>
    <n v="0.75"/>
  </r>
  <r>
    <n v="376"/>
    <x v="0"/>
    <n v="5"/>
    <n v="16"/>
    <s v="Tuesday"/>
    <s v="May"/>
    <x v="42"/>
    <s v="CUST376"/>
    <x v="1"/>
    <x v="2"/>
    <n v="64"/>
    <x v="0"/>
    <n v="1"/>
    <n v="30"/>
    <n v="30"/>
    <n v="0.44999999999999996"/>
    <n v="0.6"/>
    <n v="0.44999999999999996"/>
  </r>
  <r>
    <n v="377"/>
    <x v="0"/>
    <n v="3"/>
    <n v="9"/>
    <s v="Thursday"/>
    <s v="March"/>
    <x v="176"/>
    <s v="CUST377"/>
    <x v="1"/>
    <x v="0"/>
    <n v="46"/>
    <x v="1"/>
    <n v="4"/>
    <n v="50"/>
    <n v="200"/>
    <n v="3"/>
    <n v="4"/>
    <n v="3"/>
  </r>
  <r>
    <n v="378"/>
    <x v="0"/>
    <n v="6"/>
    <n v="28"/>
    <s v="Wednesday"/>
    <s v="June"/>
    <x v="231"/>
    <s v="CUST378"/>
    <x v="0"/>
    <x v="2"/>
    <n v="50"/>
    <x v="0"/>
    <n v="1"/>
    <n v="300"/>
    <n v="300"/>
    <n v="4.5"/>
    <n v="6"/>
    <n v="4.5"/>
  </r>
  <r>
    <n v="379"/>
    <x v="0"/>
    <n v="2"/>
    <n v="5"/>
    <s v="Sunday"/>
    <s v="February"/>
    <x v="57"/>
    <s v="CUST379"/>
    <x v="1"/>
    <x v="0"/>
    <n v="47"/>
    <x v="1"/>
    <n v="1"/>
    <n v="25"/>
    <n v="25"/>
    <n v="0.375"/>
    <n v="0.5"/>
    <n v="0.375"/>
  </r>
  <r>
    <n v="380"/>
    <x v="0"/>
    <n v="5"/>
    <n v="6"/>
    <s v="Saturday"/>
    <s v="May"/>
    <x v="4"/>
    <s v="CUST380"/>
    <x v="0"/>
    <x v="2"/>
    <n v="56"/>
    <x v="2"/>
    <n v="2"/>
    <n v="300"/>
    <n v="600"/>
    <n v="9"/>
    <n v="12"/>
    <n v="9"/>
  </r>
  <r>
    <n v="381"/>
    <x v="0"/>
    <n v="7"/>
    <n v="9"/>
    <s v="Sunday"/>
    <s v="July"/>
    <x v="67"/>
    <s v="CUST381"/>
    <x v="1"/>
    <x v="0"/>
    <n v="44"/>
    <x v="1"/>
    <n v="4"/>
    <n v="25"/>
    <n v="100"/>
    <n v="1.5"/>
    <n v="2"/>
    <n v="1.5"/>
  </r>
  <r>
    <n v="382"/>
    <x v="0"/>
    <n v="5"/>
    <n v="26"/>
    <s v="Friday"/>
    <s v="May"/>
    <x v="232"/>
    <s v="CUST382"/>
    <x v="1"/>
    <x v="2"/>
    <n v="53"/>
    <x v="1"/>
    <n v="2"/>
    <n v="500"/>
    <n v="1000"/>
    <n v="15"/>
    <n v="20"/>
    <n v="15"/>
  </r>
  <r>
    <n v="383"/>
    <x v="0"/>
    <n v="3"/>
    <n v="22"/>
    <s v="Wednesday"/>
    <s v="March"/>
    <x v="125"/>
    <s v="CUST383"/>
    <x v="1"/>
    <x v="0"/>
    <n v="46"/>
    <x v="0"/>
    <n v="3"/>
    <n v="30"/>
    <n v="90"/>
    <n v="1.3499999999999999"/>
    <n v="1.8"/>
    <n v="1.3499999999999999"/>
  </r>
  <r>
    <n v="384"/>
    <x v="0"/>
    <n v="8"/>
    <n v="13"/>
    <s v="Sunday"/>
    <s v="August"/>
    <x v="160"/>
    <s v="CUST384"/>
    <x v="0"/>
    <x v="2"/>
    <n v="55"/>
    <x v="1"/>
    <n v="1"/>
    <n v="500"/>
    <n v="500"/>
    <n v="7.5"/>
    <n v="10"/>
    <n v="7.5"/>
  </r>
  <r>
    <n v="385"/>
    <x v="0"/>
    <n v="10"/>
    <n v="6"/>
    <s v="Friday"/>
    <s v="October"/>
    <x v="233"/>
    <s v="CUST385"/>
    <x v="0"/>
    <x v="2"/>
    <n v="50"/>
    <x v="2"/>
    <n v="3"/>
    <n v="500"/>
    <n v="1500"/>
    <n v="22.5"/>
    <n v="30"/>
    <n v="22.5"/>
  </r>
  <r>
    <n v="386"/>
    <x v="0"/>
    <n v="12"/>
    <n v="27"/>
    <s v="Wednesday"/>
    <s v="December"/>
    <x v="56"/>
    <s v="CUST386"/>
    <x v="1"/>
    <x v="2"/>
    <n v="54"/>
    <x v="2"/>
    <n v="2"/>
    <n v="300"/>
    <n v="600"/>
    <n v="9"/>
    <n v="12"/>
    <n v="9"/>
  </r>
  <r>
    <n v="387"/>
    <x v="0"/>
    <n v="6"/>
    <n v="4"/>
    <s v="Sunday"/>
    <s v="June"/>
    <x v="234"/>
    <s v="CUST387"/>
    <x v="0"/>
    <x v="0"/>
    <n v="44"/>
    <x v="0"/>
    <n v="1"/>
    <n v="30"/>
    <n v="30"/>
    <n v="0.44999999999999996"/>
    <n v="0.6"/>
    <n v="0.44999999999999996"/>
  </r>
  <r>
    <n v="388"/>
    <x v="0"/>
    <n v="11"/>
    <n v="10"/>
    <s v="Friday"/>
    <s v="November"/>
    <x v="235"/>
    <s v="CUST388"/>
    <x v="0"/>
    <x v="2"/>
    <n v="50"/>
    <x v="2"/>
    <n v="1"/>
    <n v="25"/>
    <n v="25"/>
    <n v="0.375"/>
    <n v="0.5"/>
    <n v="0.375"/>
  </r>
  <r>
    <n v="389"/>
    <x v="0"/>
    <n v="12"/>
    <n v="1"/>
    <s v="Friday"/>
    <s v="December"/>
    <x v="187"/>
    <s v="CUST389"/>
    <x v="0"/>
    <x v="1"/>
    <n v="21"/>
    <x v="1"/>
    <n v="2"/>
    <n v="25"/>
    <n v="50"/>
    <n v="0.75"/>
    <n v="1"/>
    <n v="0.75"/>
  </r>
  <r>
    <n v="390"/>
    <x v="0"/>
    <n v="9"/>
    <n v="28"/>
    <s v="Thursday"/>
    <s v="September"/>
    <x v="118"/>
    <s v="CUST390"/>
    <x v="0"/>
    <x v="0"/>
    <n v="39"/>
    <x v="2"/>
    <n v="2"/>
    <n v="50"/>
    <n v="100"/>
    <n v="1.5"/>
    <n v="2"/>
    <n v="1.5"/>
  </r>
  <r>
    <n v="391"/>
    <x v="0"/>
    <n v="1"/>
    <n v="5"/>
    <s v="Thursday"/>
    <s v="January"/>
    <x v="228"/>
    <s v="CUST391"/>
    <x v="0"/>
    <x v="1"/>
    <n v="19"/>
    <x v="0"/>
    <n v="2"/>
    <n v="25"/>
    <n v="50"/>
    <n v="0.75"/>
    <n v="1"/>
    <n v="0.75"/>
  </r>
  <r>
    <n v="392"/>
    <x v="0"/>
    <n v="12"/>
    <n v="8"/>
    <s v="Friday"/>
    <s v="December"/>
    <x v="236"/>
    <s v="CUST392"/>
    <x v="0"/>
    <x v="1"/>
    <n v="27"/>
    <x v="1"/>
    <n v="2"/>
    <n v="300"/>
    <n v="600"/>
    <n v="9"/>
    <n v="12"/>
    <n v="9"/>
  </r>
  <r>
    <n v="393"/>
    <x v="0"/>
    <n v="10"/>
    <n v="11"/>
    <s v="Wednesday"/>
    <s v="October"/>
    <x v="120"/>
    <s v="CUST393"/>
    <x v="1"/>
    <x v="1"/>
    <n v="22"/>
    <x v="0"/>
    <n v="2"/>
    <n v="500"/>
    <n v="1000"/>
    <n v="15"/>
    <n v="20"/>
    <n v="15"/>
  </r>
  <r>
    <n v="394"/>
    <x v="0"/>
    <n v="6"/>
    <n v="3"/>
    <s v="Saturday"/>
    <s v="June"/>
    <x v="226"/>
    <s v="CUST394"/>
    <x v="1"/>
    <x v="1"/>
    <n v="27"/>
    <x v="1"/>
    <n v="1"/>
    <n v="500"/>
    <n v="500"/>
    <n v="7.5"/>
    <n v="10"/>
    <n v="7.5"/>
  </r>
  <r>
    <n v="395"/>
    <x v="0"/>
    <n v="12"/>
    <n v="6"/>
    <s v="Wednesday"/>
    <s v="December"/>
    <x v="237"/>
    <s v="CUST395"/>
    <x v="0"/>
    <x v="2"/>
    <n v="50"/>
    <x v="2"/>
    <n v="2"/>
    <n v="500"/>
    <n v="1000"/>
    <n v="15"/>
    <n v="20"/>
    <n v="15"/>
  </r>
  <r>
    <n v="396"/>
    <x v="0"/>
    <n v="2"/>
    <n v="23"/>
    <s v="Thursday"/>
    <s v="February"/>
    <x v="238"/>
    <s v="CUST396"/>
    <x v="1"/>
    <x v="2"/>
    <n v="55"/>
    <x v="0"/>
    <n v="1"/>
    <n v="30"/>
    <n v="30"/>
    <n v="0.44999999999999996"/>
    <n v="0.6"/>
    <n v="0.44999999999999996"/>
  </r>
  <r>
    <n v="397"/>
    <x v="0"/>
    <n v="3"/>
    <n v="10"/>
    <s v="Friday"/>
    <s v="March"/>
    <x v="239"/>
    <s v="CUST397"/>
    <x v="1"/>
    <x v="0"/>
    <n v="30"/>
    <x v="0"/>
    <n v="1"/>
    <n v="25"/>
    <n v="25"/>
    <n v="0.375"/>
    <n v="0.5"/>
    <n v="0.375"/>
  </r>
  <r>
    <n v="398"/>
    <x v="0"/>
    <n v="5"/>
    <n v="16"/>
    <s v="Tuesday"/>
    <s v="May"/>
    <x v="42"/>
    <s v="CUST398"/>
    <x v="1"/>
    <x v="0"/>
    <n v="48"/>
    <x v="1"/>
    <n v="2"/>
    <n v="300"/>
    <n v="600"/>
    <n v="9"/>
    <n v="12"/>
    <n v="9"/>
  </r>
  <r>
    <n v="399"/>
    <x v="0"/>
    <n v="3"/>
    <n v="1"/>
    <s v="Wednesday"/>
    <s v="March"/>
    <x v="240"/>
    <s v="CUST399"/>
    <x v="1"/>
    <x v="2"/>
    <n v="64"/>
    <x v="0"/>
    <n v="2"/>
    <n v="30"/>
    <n v="60"/>
    <n v="0.89999999999999991"/>
    <n v="1.2"/>
    <n v="0.89999999999999991"/>
  </r>
  <r>
    <n v="400"/>
    <x v="0"/>
    <n v="2"/>
    <n v="24"/>
    <s v="Friday"/>
    <s v="February"/>
    <x v="130"/>
    <s v="CUST400"/>
    <x v="0"/>
    <x v="2"/>
    <n v="53"/>
    <x v="1"/>
    <n v="4"/>
    <n v="50"/>
    <n v="200"/>
    <n v="3"/>
    <n v="4"/>
    <n v="3"/>
  </r>
  <r>
    <n v="401"/>
    <x v="0"/>
    <n v="10"/>
    <n v="11"/>
    <s v="Wednesday"/>
    <s v="October"/>
    <x v="120"/>
    <s v="CUST401"/>
    <x v="1"/>
    <x v="2"/>
    <n v="62"/>
    <x v="1"/>
    <n v="1"/>
    <n v="300"/>
    <n v="300"/>
    <n v="4.5"/>
    <n v="6"/>
    <n v="4.5"/>
  </r>
  <r>
    <n v="402"/>
    <x v="0"/>
    <n v="3"/>
    <n v="21"/>
    <s v="Tuesday"/>
    <s v="March"/>
    <x v="34"/>
    <s v="CUST402"/>
    <x v="1"/>
    <x v="0"/>
    <n v="41"/>
    <x v="1"/>
    <n v="2"/>
    <n v="300"/>
    <n v="600"/>
    <n v="9"/>
    <n v="12"/>
    <n v="9"/>
  </r>
  <r>
    <n v="403"/>
    <x v="0"/>
    <n v="5"/>
    <n v="20"/>
    <s v="Saturday"/>
    <s v="May"/>
    <x v="241"/>
    <s v="CUST403"/>
    <x v="0"/>
    <x v="0"/>
    <n v="32"/>
    <x v="1"/>
    <n v="2"/>
    <n v="300"/>
    <n v="600"/>
    <n v="9"/>
    <n v="12"/>
    <n v="9"/>
  </r>
  <r>
    <n v="404"/>
    <x v="0"/>
    <n v="5"/>
    <n v="25"/>
    <s v="Thursday"/>
    <s v="May"/>
    <x v="242"/>
    <s v="CUST404"/>
    <x v="0"/>
    <x v="0"/>
    <n v="46"/>
    <x v="2"/>
    <n v="2"/>
    <n v="500"/>
    <n v="1000"/>
    <n v="15"/>
    <n v="20"/>
    <n v="15"/>
  </r>
  <r>
    <n v="405"/>
    <x v="0"/>
    <n v="11"/>
    <n v="6"/>
    <s v="Monday"/>
    <s v="November"/>
    <x v="41"/>
    <s v="CUST405"/>
    <x v="1"/>
    <x v="1"/>
    <n v="25"/>
    <x v="1"/>
    <n v="4"/>
    <n v="300"/>
    <n v="1200"/>
    <n v="18"/>
    <n v="24"/>
    <n v="18"/>
  </r>
  <r>
    <n v="406"/>
    <x v="0"/>
    <n v="4"/>
    <n v="18"/>
    <s v="Tuesday"/>
    <s v="April"/>
    <x v="69"/>
    <s v="CUST406"/>
    <x v="1"/>
    <x v="1"/>
    <n v="22"/>
    <x v="0"/>
    <n v="4"/>
    <n v="25"/>
    <n v="100"/>
    <n v="1.5"/>
    <n v="2"/>
    <n v="1.5"/>
  </r>
  <r>
    <n v="407"/>
    <x v="0"/>
    <n v="6"/>
    <n v="25"/>
    <s v="Sunday"/>
    <s v="June"/>
    <x v="243"/>
    <s v="CUST407"/>
    <x v="1"/>
    <x v="0"/>
    <n v="46"/>
    <x v="2"/>
    <n v="3"/>
    <n v="300"/>
    <n v="900"/>
    <n v="13.5"/>
    <n v="18"/>
    <n v="13.5"/>
  </r>
  <r>
    <n v="408"/>
    <x v="0"/>
    <n v="4"/>
    <n v="15"/>
    <s v="Saturday"/>
    <s v="April"/>
    <x v="225"/>
    <s v="CUST408"/>
    <x v="1"/>
    <x v="2"/>
    <n v="64"/>
    <x v="0"/>
    <n v="1"/>
    <n v="500"/>
    <n v="500"/>
    <n v="7.5"/>
    <n v="10"/>
    <n v="7.5"/>
  </r>
  <r>
    <n v="409"/>
    <x v="0"/>
    <n v="12"/>
    <n v="18"/>
    <s v="Monday"/>
    <s v="December"/>
    <x v="244"/>
    <s v="CUST409"/>
    <x v="1"/>
    <x v="1"/>
    <n v="21"/>
    <x v="2"/>
    <n v="3"/>
    <n v="300"/>
    <n v="900"/>
    <n v="13.5"/>
    <n v="18"/>
    <n v="13.5"/>
  </r>
  <r>
    <n v="410"/>
    <x v="0"/>
    <n v="11"/>
    <n v="21"/>
    <s v="Tuesday"/>
    <s v="November"/>
    <x v="245"/>
    <s v="CUST410"/>
    <x v="1"/>
    <x v="1"/>
    <n v="29"/>
    <x v="1"/>
    <n v="2"/>
    <n v="50"/>
    <n v="100"/>
    <n v="1.5"/>
    <n v="2"/>
    <n v="1.5"/>
  </r>
  <r>
    <n v="411"/>
    <x v="0"/>
    <n v="5"/>
    <n v="16"/>
    <s v="Tuesday"/>
    <s v="May"/>
    <x v="42"/>
    <s v="CUST411"/>
    <x v="0"/>
    <x v="2"/>
    <n v="62"/>
    <x v="2"/>
    <n v="4"/>
    <n v="50"/>
    <n v="200"/>
    <n v="3"/>
    <n v="4"/>
    <n v="3"/>
  </r>
  <r>
    <n v="412"/>
    <x v="0"/>
    <n v="9"/>
    <n v="16"/>
    <s v="Saturday"/>
    <s v="September"/>
    <x v="18"/>
    <s v="CUST412"/>
    <x v="1"/>
    <x v="1"/>
    <n v="19"/>
    <x v="2"/>
    <n v="4"/>
    <n v="500"/>
    <n v="2000"/>
    <n v="30"/>
    <n v="40"/>
    <n v="30"/>
  </r>
  <r>
    <n v="413"/>
    <x v="0"/>
    <n v="9"/>
    <n v="8"/>
    <s v="Friday"/>
    <s v="September"/>
    <x v="140"/>
    <s v="CUST413"/>
    <x v="1"/>
    <x v="0"/>
    <n v="44"/>
    <x v="0"/>
    <n v="3"/>
    <n v="25"/>
    <n v="75"/>
    <n v="1.125"/>
    <n v="1.5"/>
    <n v="1.125"/>
  </r>
  <r>
    <n v="414"/>
    <x v="0"/>
    <n v="5"/>
    <n v="9"/>
    <s v="Tuesday"/>
    <s v="May"/>
    <x v="119"/>
    <s v="CUST414"/>
    <x v="0"/>
    <x v="0"/>
    <n v="48"/>
    <x v="0"/>
    <n v="4"/>
    <n v="25"/>
    <n v="100"/>
    <n v="1.5"/>
    <n v="2"/>
    <n v="1.5"/>
  </r>
  <r>
    <n v="415"/>
    <x v="0"/>
    <n v="1"/>
    <n v="27"/>
    <s v="Friday"/>
    <s v="January"/>
    <x v="246"/>
    <s v="CUST415"/>
    <x v="0"/>
    <x v="2"/>
    <n v="53"/>
    <x v="1"/>
    <n v="2"/>
    <n v="30"/>
    <n v="60"/>
    <n v="0.89999999999999991"/>
    <n v="1.2"/>
    <n v="0.89999999999999991"/>
  </r>
  <r>
    <n v="416"/>
    <x v="0"/>
    <n v="2"/>
    <n v="17"/>
    <s v="Friday"/>
    <s v="February"/>
    <x v="15"/>
    <s v="CUST416"/>
    <x v="0"/>
    <x v="2"/>
    <n v="53"/>
    <x v="2"/>
    <n v="4"/>
    <n v="500"/>
    <n v="2000"/>
    <n v="30"/>
    <n v="40"/>
    <n v="30"/>
  </r>
  <r>
    <n v="417"/>
    <x v="0"/>
    <n v="11"/>
    <n v="21"/>
    <s v="Tuesday"/>
    <s v="November"/>
    <x v="245"/>
    <s v="CUST417"/>
    <x v="0"/>
    <x v="0"/>
    <n v="43"/>
    <x v="2"/>
    <n v="3"/>
    <n v="300"/>
    <n v="900"/>
    <n v="13.5"/>
    <n v="18"/>
    <n v="13.5"/>
  </r>
  <r>
    <n v="418"/>
    <x v="0"/>
    <n v="8"/>
    <n v="5"/>
    <s v="Saturday"/>
    <s v="August"/>
    <x v="12"/>
    <s v="CUST418"/>
    <x v="1"/>
    <x v="2"/>
    <n v="60"/>
    <x v="2"/>
    <n v="2"/>
    <n v="500"/>
    <n v="1000"/>
    <n v="15"/>
    <n v="20"/>
    <n v="15"/>
  </r>
  <r>
    <n v="419"/>
    <x v="0"/>
    <n v="5"/>
    <n v="22"/>
    <s v="Monday"/>
    <s v="May"/>
    <x v="247"/>
    <s v="CUST419"/>
    <x v="1"/>
    <x v="0"/>
    <n v="44"/>
    <x v="1"/>
    <n v="3"/>
    <n v="30"/>
    <n v="90"/>
    <n v="1.3499999999999999"/>
    <n v="1.8"/>
    <n v="1.3499999999999999"/>
  </r>
  <r>
    <n v="420"/>
    <x v="0"/>
    <n v="1"/>
    <n v="23"/>
    <s v="Monday"/>
    <s v="January"/>
    <x v="43"/>
    <s v="CUST420"/>
    <x v="1"/>
    <x v="1"/>
    <n v="22"/>
    <x v="1"/>
    <n v="4"/>
    <n v="500"/>
    <n v="2000"/>
    <n v="30"/>
    <n v="40"/>
    <n v="30"/>
  </r>
  <r>
    <n v="421"/>
    <x v="0"/>
    <n v="1"/>
    <n v="2"/>
    <s v="Monday"/>
    <s v="January"/>
    <x v="126"/>
    <s v="CUST421"/>
    <x v="1"/>
    <x v="0"/>
    <n v="37"/>
    <x v="1"/>
    <n v="3"/>
    <n v="500"/>
    <n v="1500"/>
    <n v="22.5"/>
    <n v="30"/>
    <n v="22.5"/>
  </r>
  <r>
    <n v="422"/>
    <x v="0"/>
    <n v="6"/>
    <n v="20"/>
    <s v="Tuesday"/>
    <s v="June"/>
    <x v="248"/>
    <s v="CUST422"/>
    <x v="1"/>
    <x v="1"/>
    <n v="28"/>
    <x v="1"/>
    <n v="3"/>
    <n v="30"/>
    <n v="90"/>
    <n v="1.3499999999999999"/>
    <n v="1.8"/>
    <n v="1.3499999999999999"/>
  </r>
  <r>
    <n v="423"/>
    <x v="0"/>
    <n v="3"/>
    <n v="8"/>
    <s v="Wednesday"/>
    <s v="March"/>
    <x v="249"/>
    <s v="CUST423"/>
    <x v="1"/>
    <x v="1"/>
    <n v="27"/>
    <x v="1"/>
    <n v="1"/>
    <n v="25"/>
    <n v="25"/>
    <n v="0.375"/>
    <n v="0.5"/>
    <n v="0.375"/>
  </r>
  <r>
    <n v="424"/>
    <x v="0"/>
    <n v="11"/>
    <n v="23"/>
    <s v="Thursday"/>
    <s v="November"/>
    <x v="250"/>
    <s v="CUST424"/>
    <x v="0"/>
    <x v="2"/>
    <n v="57"/>
    <x v="0"/>
    <n v="4"/>
    <n v="300"/>
    <n v="1200"/>
    <n v="18"/>
    <n v="24"/>
    <n v="18"/>
  </r>
  <r>
    <n v="425"/>
    <x v="0"/>
    <n v="5"/>
    <n v="15"/>
    <s v="Monday"/>
    <s v="May"/>
    <x v="100"/>
    <s v="CUST425"/>
    <x v="1"/>
    <x v="2"/>
    <n v="55"/>
    <x v="2"/>
    <n v="4"/>
    <n v="30"/>
    <n v="120"/>
    <n v="1.7999999999999998"/>
    <n v="2.4"/>
    <n v="1.7999999999999998"/>
  </r>
  <r>
    <n v="426"/>
    <x v="0"/>
    <n v="3"/>
    <n v="24"/>
    <s v="Friday"/>
    <s v="March"/>
    <x v="134"/>
    <s v="CUST426"/>
    <x v="0"/>
    <x v="1"/>
    <n v="23"/>
    <x v="2"/>
    <n v="3"/>
    <n v="50"/>
    <n v="150"/>
    <n v="2.25"/>
    <n v="3"/>
    <n v="2.25"/>
  </r>
  <r>
    <n v="427"/>
    <x v="0"/>
    <n v="8"/>
    <n v="15"/>
    <s v="Tuesday"/>
    <s v="August"/>
    <x v="196"/>
    <s v="CUST427"/>
    <x v="0"/>
    <x v="1"/>
    <n v="25"/>
    <x v="2"/>
    <n v="1"/>
    <n v="25"/>
    <n v="25"/>
    <n v="0.375"/>
    <n v="0.5"/>
    <n v="0.375"/>
  </r>
  <r>
    <n v="428"/>
    <x v="0"/>
    <n v="10"/>
    <n v="10"/>
    <s v="Tuesday"/>
    <s v="October"/>
    <x v="49"/>
    <s v="CUST428"/>
    <x v="1"/>
    <x v="0"/>
    <n v="40"/>
    <x v="2"/>
    <n v="4"/>
    <n v="50"/>
    <n v="200"/>
    <n v="3"/>
    <n v="4"/>
    <n v="3"/>
  </r>
  <r>
    <n v="429"/>
    <x v="0"/>
    <n v="12"/>
    <n v="28"/>
    <s v="Thursday"/>
    <s v="December"/>
    <x v="251"/>
    <s v="CUST429"/>
    <x v="0"/>
    <x v="2"/>
    <n v="64"/>
    <x v="2"/>
    <n v="2"/>
    <n v="25"/>
    <n v="50"/>
    <n v="0.75"/>
    <n v="1"/>
    <n v="0.75"/>
  </r>
  <r>
    <n v="430"/>
    <x v="0"/>
    <n v="8"/>
    <n v="7"/>
    <s v="Monday"/>
    <s v="August"/>
    <x v="252"/>
    <s v="CUST430"/>
    <x v="1"/>
    <x v="0"/>
    <n v="43"/>
    <x v="2"/>
    <n v="3"/>
    <n v="300"/>
    <n v="900"/>
    <n v="13.5"/>
    <n v="18"/>
    <n v="13.5"/>
  </r>
  <r>
    <n v="431"/>
    <x v="0"/>
    <n v="10"/>
    <n v="15"/>
    <s v="Sunday"/>
    <s v="October"/>
    <x v="21"/>
    <s v="CUST431"/>
    <x v="0"/>
    <x v="2"/>
    <n v="63"/>
    <x v="2"/>
    <n v="4"/>
    <n v="300"/>
    <n v="1200"/>
    <n v="18"/>
    <n v="24"/>
    <n v="18"/>
  </r>
  <r>
    <n v="432"/>
    <x v="0"/>
    <n v="1"/>
    <n v="5"/>
    <s v="Thursday"/>
    <s v="January"/>
    <x v="228"/>
    <s v="CUST432"/>
    <x v="1"/>
    <x v="2"/>
    <n v="60"/>
    <x v="2"/>
    <n v="2"/>
    <n v="500"/>
    <n v="1000"/>
    <n v="15"/>
    <n v="20"/>
    <n v="15"/>
  </r>
  <r>
    <n v="433"/>
    <x v="0"/>
    <n v="2"/>
    <n v="27"/>
    <s v="Monday"/>
    <s v="February"/>
    <x v="1"/>
    <s v="CUST433"/>
    <x v="0"/>
    <x v="1"/>
    <n v="29"/>
    <x v="0"/>
    <n v="4"/>
    <n v="50"/>
    <n v="200"/>
    <n v="3"/>
    <n v="4"/>
    <n v="3"/>
  </r>
  <r>
    <n v="434"/>
    <x v="0"/>
    <n v="2"/>
    <n v="8"/>
    <s v="Wednesday"/>
    <s v="February"/>
    <x v="195"/>
    <s v="CUST434"/>
    <x v="1"/>
    <x v="0"/>
    <n v="43"/>
    <x v="2"/>
    <n v="2"/>
    <n v="25"/>
    <n v="50"/>
    <n v="0.75"/>
    <n v="1"/>
    <n v="0.75"/>
  </r>
  <r>
    <n v="435"/>
    <x v="0"/>
    <n v="12"/>
    <n v="20"/>
    <s v="Wednesday"/>
    <s v="December"/>
    <x v="156"/>
    <s v="CUST435"/>
    <x v="1"/>
    <x v="0"/>
    <n v="30"/>
    <x v="0"/>
    <n v="3"/>
    <n v="300"/>
    <n v="900"/>
    <n v="13.5"/>
    <n v="18"/>
    <n v="13.5"/>
  </r>
  <r>
    <n v="436"/>
    <x v="0"/>
    <n v="3"/>
    <n v="18"/>
    <s v="Saturday"/>
    <s v="March"/>
    <x v="253"/>
    <s v="CUST436"/>
    <x v="1"/>
    <x v="2"/>
    <n v="57"/>
    <x v="1"/>
    <n v="4"/>
    <n v="30"/>
    <n v="120"/>
    <n v="1.7999999999999998"/>
    <n v="2.4"/>
    <n v="1.7999999999999998"/>
  </r>
  <r>
    <n v="437"/>
    <x v="0"/>
    <n v="10"/>
    <n v="7"/>
    <s v="Saturday"/>
    <s v="October"/>
    <x v="9"/>
    <s v="CUST437"/>
    <x v="1"/>
    <x v="0"/>
    <n v="35"/>
    <x v="2"/>
    <n v="4"/>
    <n v="300"/>
    <n v="1200"/>
    <n v="18"/>
    <n v="24"/>
    <n v="18"/>
  </r>
  <r>
    <n v="438"/>
    <x v="0"/>
    <n v="1"/>
    <n v="19"/>
    <s v="Thursday"/>
    <s v="January"/>
    <x v="254"/>
    <s v="CUST438"/>
    <x v="1"/>
    <x v="0"/>
    <n v="42"/>
    <x v="1"/>
    <n v="1"/>
    <n v="30"/>
    <n v="30"/>
    <n v="0.44999999999999996"/>
    <n v="0.6"/>
    <n v="0.44999999999999996"/>
  </r>
  <r>
    <n v="439"/>
    <x v="0"/>
    <n v="7"/>
    <n v="9"/>
    <s v="Sunday"/>
    <s v="July"/>
    <x v="67"/>
    <s v="CUST439"/>
    <x v="0"/>
    <x v="2"/>
    <n v="50"/>
    <x v="1"/>
    <n v="3"/>
    <n v="25"/>
    <n v="75"/>
    <n v="1.125"/>
    <n v="1.5"/>
    <n v="1.125"/>
  </r>
  <r>
    <n v="440"/>
    <x v="0"/>
    <n v="10"/>
    <n v="26"/>
    <s v="Thursday"/>
    <s v="October"/>
    <x v="103"/>
    <s v="CUST440"/>
    <x v="0"/>
    <x v="2"/>
    <n v="64"/>
    <x v="1"/>
    <n v="2"/>
    <n v="300"/>
    <n v="600"/>
    <n v="9"/>
    <n v="12"/>
    <n v="9"/>
  </r>
  <r>
    <n v="441"/>
    <x v="0"/>
    <n v="10"/>
    <n v="10"/>
    <s v="Tuesday"/>
    <s v="October"/>
    <x v="49"/>
    <s v="CUST441"/>
    <x v="0"/>
    <x v="2"/>
    <n v="57"/>
    <x v="0"/>
    <n v="4"/>
    <n v="300"/>
    <n v="1200"/>
    <n v="18"/>
    <n v="24"/>
    <n v="18"/>
  </r>
  <r>
    <n v="442"/>
    <x v="0"/>
    <n v="3"/>
    <n v="17"/>
    <s v="Friday"/>
    <s v="March"/>
    <x v="255"/>
    <s v="CUST442"/>
    <x v="1"/>
    <x v="2"/>
    <n v="60"/>
    <x v="1"/>
    <n v="4"/>
    <n v="25"/>
    <n v="100"/>
    <n v="1.5"/>
    <n v="2"/>
    <n v="1.5"/>
  </r>
  <r>
    <n v="443"/>
    <x v="0"/>
    <n v="8"/>
    <n v="9"/>
    <s v="Wednesday"/>
    <s v="August"/>
    <x v="183"/>
    <s v="CUST443"/>
    <x v="0"/>
    <x v="1"/>
    <n v="29"/>
    <x v="1"/>
    <n v="2"/>
    <n v="300"/>
    <n v="600"/>
    <n v="9"/>
    <n v="12"/>
    <n v="9"/>
  </r>
  <r>
    <n v="444"/>
    <x v="0"/>
    <n v="3"/>
    <n v="7"/>
    <s v="Tuesday"/>
    <s v="March"/>
    <x v="150"/>
    <s v="CUST444"/>
    <x v="1"/>
    <x v="2"/>
    <n v="61"/>
    <x v="1"/>
    <n v="3"/>
    <n v="30"/>
    <n v="90"/>
    <n v="1.3499999999999999"/>
    <n v="1.8"/>
    <n v="1.3499999999999999"/>
  </r>
  <r>
    <n v="445"/>
    <x v="0"/>
    <n v="1"/>
    <n v="22"/>
    <s v="Sunday"/>
    <s v="January"/>
    <x v="256"/>
    <s v="CUST445"/>
    <x v="1"/>
    <x v="2"/>
    <n v="53"/>
    <x v="2"/>
    <n v="1"/>
    <n v="300"/>
    <n v="300"/>
    <n v="4.5"/>
    <n v="6"/>
    <n v="4.5"/>
  </r>
  <r>
    <n v="446"/>
    <x v="0"/>
    <n v="6"/>
    <n v="7"/>
    <s v="Wednesday"/>
    <s v="June"/>
    <x v="142"/>
    <s v="CUST446"/>
    <x v="0"/>
    <x v="1"/>
    <n v="21"/>
    <x v="2"/>
    <n v="1"/>
    <n v="50"/>
    <n v="50"/>
    <n v="0.75"/>
    <n v="1"/>
    <n v="0.75"/>
  </r>
  <r>
    <n v="447"/>
    <x v="0"/>
    <n v="7"/>
    <n v="6"/>
    <s v="Thursday"/>
    <s v="July"/>
    <x v="65"/>
    <s v="CUST447"/>
    <x v="0"/>
    <x v="1"/>
    <n v="22"/>
    <x v="0"/>
    <n v="4"/>
    <n v="500"/>
    <n v="2000"/>
    <n v="30"/>
    <n v="40"/>
    <n v="30"/>
  </r>
  <r>
    <n v="448"/>
    <x v="0"/>
    <n v="1"/>
    <n v="21"/>
    <s v="Saturday"/>
    <s v="January"/>
    <x v="219"/>
    <s v="CUST448"/>
    <x v="1"/>
    <x v="2"/>
    <n v="54"/>
    <x v="0"/>
    <n v="2"/>
    <n v="30"/>
    <n v="60"/>
    <n v="0.89999999999999991"/>
    <n v="1.2"/>
    <n v="0.89999999999999991"/>
  </r>
  <r>
    <n v="449"/>
    <x v="0"/>
    <n v="7"/>
    <n v="3"/>
    <s v="Monday"/>
    <s v="July"/>
    <x v="39"/>
    <s v="CUST449"/>
    <x v="0"/>
    <x v="1"/>
    <n v="25"/>
    <x v="2"/>
    <n v="4"/>
    <n v="50"/>
    <n v="200"/>
    <n v="3"/>
    <n v="4"/>
    <n v="3"/>
  </r>
  <r>
    <n v="450"/>
    <x v="0"/>
    <n v="4"/>
    <n v="18"/>
    <s v="Tuesday"/>
    <s v="April"/>
    <x v="69"/>
    <s v="CUST450"/>
    <x v="1"/>
    <x v="2"/>
    <n v="59"/>
    <x v="0"/>
    <n v="2"/>
    <n v="25"/>
    <n v="50"/>
    <n v="0.75"/>
    <n v="1"/>
    <n v="0.75"/>
  </r>
  <r>
    <n v="451"/>
    <x v="0"/>
    <n v="12"/>
    <n v="16"/>
    <s v="Saturday"/>
    <s v="December"/>
    <x v="72"/>
    <s v="CUST451"/>
    <x v="1"/>
    <x v="0"/>
    <n v="45"/>
    <x v="2"/>
    <n v="1"/>
    <n v="30"/>
    <n v="30"/>
    <n v="0.44999999999999996"/>
    <n v="0.6"/>
    <n v="0.44999999999999996"/>
  </r>
  <r>
    <n v="452"/>
    <x v="0"/>
    <n v="5"/>
    <n v="8"/>
    <s v="Monday"/>
    <s v="May"/>
    <x v="193"/>
    <s v="CUST452"/>
    <x v="1"/>
    <x v="0"/>
    <n v="48"/>
    <x v="1"/>
    <n v="3"/>
    <n v="500"/>
    <n v="1500"/>
    <n v="22.5"/>
    <n v="30"/>
    <n v="22.5"/>
  </r>
  <r>
    <n v="453"/>
    <x v="0"/>
    <n v="12"/>
    <n v="8"/>
    <s v="Friday"/>
    <s v="December"/>
    <x v="236"/>
    <s v="CUST453"/>
    <x v="1"/>
    <x v="1"/>
    <n v="26"/>
    <x v="1"/>
    <n v="2"/>
    <n v="500"/>
    <n v="1000"/>
    <n v="15"/>
    <n v="20"/>
    <n v="15"/>
  </r>
  <r>
    <n v="454"/>
    <x v="0"/>
    <n v="2"/>
    <n v="22"/>
    <s v="Wednesday"/>
    <s v="February"/>
    <x v="7"/>
    <s v="CUST454"/>
    <x v="1"/>
    <x v="0"/>
    <n v="46"/>
    <x v="0"/>
    <n v="1"/>
    <n v="25"/>
    <n v="25"/>
    <n v="0.375"/>
    <n v="0.5"/>
    <n v="0.375"/>
  </r>
  <r>
    <n v="455"/>
    <x v="0"/>
    <n v="7"/>
    <n v="1"/>
    <s v="Saturday"/>
    <s v="July"/>
    <x v="68"/>
    <s v="CUST455"/>
    <x v="0"/>
    <x v="0"/>
    <n v="31"/>
    <x v="2"/>
    <n v="4"/>
    <n v="25"/>
    <n v="100"/>
    <n v="1.5"/>
    <n v="2"/>
    <n v="1.5"/>
  </r>
  <r>
    <n v="456"/>
    <x v="0"/>
    <n v="10"/>
    <n v="14"/>
    <s v="Saturday"/>
    <s v="October"/>
    <x v="257"/>
    <s v="CUST456"/>
    <x v="0"/>
    <x v="2"/>
    <n v="57"/>
    <x v="2"/>
    <n v="2"/>
    <n v="30"/>
    <n v="60"/>
    <n v="0.89999999999999991"/>
    <n v="1.2"/>
    <n v="0.89999999999999991"/>
  </r>
  <r>
    <n v="457"/>
    <x v="0"/>
    <n v="7"/>
    <n v="28"/>
    <s v="Friday"/>
    <s v="July"/>
    <x v="180"/>
    <s v="CUST457"/>
    <x v="1"/>
    <x v="2"/>
    <n v="58"/>
    <x v="0"/>
    <n v="3"/>
    <n v="300"/>
    <n v="900"/>
    <n v="13.5"/>
    <n v="18"/>
    <n v="13.5"/>
  </r>
  <r>
    <n v="458"/>
    <x v="0"/>
    <n v="11"/>
    <n v="14"/>
    <s v="Tuesday"/>
    <s v="November"/>
    <x v="220"/>
    <s v="CUST458"/>
    <x v="1"/>
    <x v="0"/>
    <n v="39"/>
    <x v="2"/>
    <n v="4"/>
    <n v="25"/>
    <n v="100"/>
    <n v="1.5"/>
    <n v="2"/>
    <n v="1.5"/>
  </r>
  <r>
    <n v="459"/>
    <x v="0"/>
    <n v="3"/>
    <n v="21"/>
    <s v="Tuesday"/>
    <s v="March"/>
    <x v="34"/>
    <s v="CUST459"/>
    <x v="0"/>
    <x v="1"/>
    <n v="28"/>
    <x v="1"/>
    <n v="4"/>
    <n v="300"/>
    <n v="1200"/>
    <n v="18"/>
    <n v="24"/>
    <n v="18"/>
  </r>
  <r>
    <n v="460"/>
    <x v="0"/>
    <n v="5"/>
    <n v="2"/>
    <s v="Tuesday"/>
    <s v="May"/>
    <x v="173"/>
    <s v="CUST460"/>
    <x v="0"/>
    <x v="0"/>
    <n v="40"/>
    <x v="0"/>
    <n v="1"/>
    <n v="50"/>
    <n v="50"/>
    <n v="0.75"/>
    <n v="1"/>
    <n v="0.75"/>
  </r>
  <r>
    <n v="461"/>
    <x v="0"/>
    <n v="3"/>
    <n v="25"/>
    <s v="Saturday"/>
    <s v="March"/>
    <x v="66"/>
    <s v="CUST461"/>
    <x v="1"/>
    <x v="1"/>
    <n v="18"/>
    <x v="0"/>
    <n v="2"/>
    <n v="500"/>
    <n v="1000"/>
    <n v="15"/>
    <n v="20"/>
    <n v="15"/>
  </r>
  <r>
    <n v="462"/>
    <x v="0"/>
    <n v="4"/>
    <n v="1"/>
    <s v="Saturday"/>
    <s v="April"/>
    <x v="258"/>
    <s v="CUST462"/>
    <x v="0"/>
    <x v="2"/>
    <n v="63"/>
    <x v="2"/>
    <n v="4"/>
    <n v="300"/>
    <n v="1200"/>
    <n v="18"/>
    <n v="24"/>
    <n v="18"/>
  </r>
  <r>
    <n v="463"/>
    <x v="0"/>
    <n v="7"/>
    <n v="31"/>
    <s v="Monday"/>
    <s v="July"/>
    <x v="259"/>
    <s v="CUST463"/>
    <x v="1"/>
    <x v="2"/>
    <n v="54"/>
    <x v="0"/>
    <n v="3"/>
    <n v="500"/>
    <n v="1500"/>
    <n v="22.5"/>
    <n v="30"/>
    <n v="22.5"/>
  </r>
  <r>
    <n v="464"/>
    <x v="0"/>
    <n v="1"/>
    <n v="13"/>
    <s v="Friday"/>
    <s v="January"/>
    <x v="2"/>
    <s v="CUST464"/>
    <x v="0"/>
    <x v="0"/>
    <n v="38"/>
    <x v="2"/>
    <n v="2"/>
    <n v="300"/>
    <n v="600"/>
    <n v="9"/>
    <n v="12"/>
    <n v="9"/>
  </r>
  <r>
    <n v="465"/>
    <x v="0"/>
    <n v="4"/>
    <n v="2"/>
    <s v="Sunday"/>
    <s v="April"/>
    <x v="128"/>
    <s v="CUST465"/>
    <x v="1"/>
    <x v="0"/>
    <n v="43"/>
    <x v="2"/>
    <n v="3"/>
    <n v="50"/>
    <n v="150"/>
    <n v="2.25"/>
    <n v="3"/>
    <n v="2.25"/>
  </r>
  <r>
    <n v="466"/>
    <x v="0"/>
    <n v="6"/>
    <n v="20"/>
    <s v="Tuesday"/>
    <s v="June"/>
    <x v="248"/>
    <s v="CUST466"/>
    <x v="0"/>
    <x v="2"/>
    <n v="63"/>
    <x v="2"/>
    <n v="4"/>
    <n v="25"/>
    <n v="100"/>
    <n v="1.5"/>
    <n v="2"/>
    <n v="1.5"/>
  </r>
  <r>
    <n v="467"/>
    <x v="0"/>
    <n v="7"/>
    <n v="30"/>
    <s v="Sunday"/>
    <s v="July"/>
    <x v="184"/>
    <s v="CUST467"/>
    <x v="1"/>
    <x v="2"/>
    <n v="53"/>
    <x v="2"/>
    <n v="3"/>
    <n v="50"/>
    <n v="150"/>
    <n v="2.25"/>
    <n v="3"/>
    <n v="2.25"/>
  </r>
  <r>
    <n v="468"/>
    <x v="0"/>
    <n v="12"/>
    <n v="9"/>
    <s v="Saturday"/>
    <s v="December"/>
    <x v="174"/>
    <s v="CUST468"/>
    <x v="0"/>
    <x v="0"/>
    <n v="40"/>
    <x v="2"/>
    <n v="1"/>
    <n v="25"/>
    <n v="25"/>
    <n v="0.375"/>
    <n v="0.5"/>
    <n v="0.375"/>
  </r>
  <r>
    <n v="469"/>
    <x v="0"/>
    <n v="5"/>
    <n v="8"/>
    <s v="Monday"/>
    <s v="May"/>
    <x v="193"/>
    <s v="CUST469"/>
    <x v="0"/>
    <x v="1"/>
    <n v="18"/>
    <x v="0"/>
    <n v="3"/>
    <n v="25"/>
    <n v="75"/>
    <n v="1.125"/>
    <n v="1.5"/>
    <n v="1.125"/>
  </r>
  <r>
    <n v="470"/>
    <x v="0"/>
    <n v="5"/>
    <n v="17"/>
    <s v="Wednesday"/>
    <s v="May"/>
    <x v="71"/>
    <s v="CUST470"/>
    <x v="1"/>
    <x v="2"/>
    <n v="57"/>
    <x v="1"/>
    <n v="2"/>
    <n v="500"/>
    <n v="1000"/>
    <n v="15"/>
    <n v="20"/>
    <n v="15"/>
  </r>
  <r>
    <n v="471"/>
    <x v="0"/>
    <n v="3"/>
    <n v="23"/>
    <s v="Thursday"/>
    <s v="March"/>
    <x v="31"/>
    <s v="CUST471"/>
    <x v="0"/>
    <x v="0"/>
    <n v="32"/>
    <x v="1"/>
    <n v="3"/>
    <n v="50"/>
    <n v="150"/>
    <n v="2.25"/>
    <n v="3"/>
    <n v="2.25"/>
  </r>
  <r>
    <n v="472"/>
    <x v="0"/>
    <n v="12"/>
    <n v="26"/>
    <s v="Tuesday"/>
    <s v="December"/>
    <x v="24"/>
    <s v="CUST472"/>
    <x v="1"/>
    <x v="0"/>
    <n v="38"/>
    <x v="0"/>
    <n v="3"/>
    <n v="300"/>
    <n v="900"/>
    <n v="13.5"/>
    <n v="18"/>
    <n v="13.5"/>
  </r>
  <r>
    <n v="473"/>
    <x v="0"/>
    <n v="2"/>
    <n v="25"/>
    <s v="Saturday"/>
    <s v="February"/>
    <x v="192"/>
    <s v="CUST473"/>
    <x v="0"/>
    <x v="2"/>
    <n v="64"/>
    <x v="0"/>
    <n v="1"/>
    <n v="50"/>
    <n v="50"/>
    <n v="0.75"/>
    <n v="1"/>
    <n v="0.75"/>
  </r>
  <r>
    <n v="474"/>
    <x v="0"/>
    <n v="7"/>
    <n v="15"/>
    <s v="Saturday"/>
    <s v="July"/>
    <x v="116"/>
    <s v="CUST474"/>
    <x v="1"/>
    <x v="1"/>
    <n v="26"/>
    <x v="1"/>
    <n v="3"/>
    <n v="500"/>
    <n v="1500"/>
    <n v="22.5"/>
    <n v="30"/>
    <n v="22.5"/>
  </r>
  <r>
    <n v="475"/>
    <x v="0"/>
    <n v="1"/>
    <n v="20"/>
    <s v="Friday"/>
    <s v="January"/>
    <x v="260"/>
    <s v="CUST475"/>
    <x v="0"/>
    <x v="1"/>
    <n v="26"/>
    <x v="1"/>
    <n v="3"/>
    <n v="25"/>
    <n v="75"/>
    <n v="1.125"/>
    <n v="1.5"/>
    <n v="1.125"/>
  </r>
  <r>
    <n v="476"/>
    <x v="0"/>
    <n v="8"/>
    <n v="29"/>
    <s v="Tuesday"/>
    <s v="August"/>
    <x v="261"/>
    <s v="CUST476"/>
    <x v="1"/>
    <x v="1"/>
    <n v="27"/>
    <x v="1"/>
    <n v="4"/>
    <n v="500"/>
    <n v="2000"/>
    <n v="30"/>
    <n v="40"/>
    <n v="30"/>
  </r>
  <r>
    <n v="477"/>
    <x v="0"/>
    <n v="4"/>
    <n v="24"/>
    <s v="Monday"/>
    <s v="April"/>
    <x v="262"/>
    <s v="CUST477"/>
    <x v="0"/>
    <x v="0"/>
    <n v="43"/>
    <x v="1"/>
    <n v="4"/>
    <n v="30"/>
    <n v="120"/>
    <n v="1.7999999999999998"/>
    <n v="2.4"/>
    <n v="1.7999999999999998"/>
  </r>
  <r>
    <n v="478"/>
    <x v="0"/>
    <n v="4"/>
    <n v="13"/>
    <s v="Thursday"/>
    <s v="April"/>
    <x v="157"/>
    <s v="CUST478"/>
    <x v="1"/>
    <x v="2"/>
    <n v="58"/>
    <x v="1"/>
    <n v="2"/>
    <n v="30"/>
    <n v="60"/>
    <n v="0.89999999999999991"/>
    <n v="1.2"/>
    <n v="0.89999999999999991"/>
  </r>
  <r>
    <n v="479"/>
    <x v="0"/>
    <n v="8"/>
    <n v="24"/>
    <s v="Thursday"/>
    <s v="August"/>
    <x v="44"/>
    <s v="CUST479"/>
    <x v="0"/>
    <x v="2"/>
    <n v="52"/>
    <x v="2"/>
    <n v="4"/>
    <n v="300"/>
    <n v="1200"/>
    <n v="18"/>
    <n v="24"/>
    <n v="18"/>
  </r>
  <r>
    <n v="480"/>
    <x v="0"/>
    <n v="6"/>
    <n v="29"/>
    <s v="Thursday"/>
    <s v="June"/>
    <x v="263"/>
    <s v="CUST480"/>
    <x v="1"/>
    <x v="0"/>
    <n v="42"/>
    <x v="0"/>
    <n v="4"/>
    <n v="500"/>
    <n v="2000"/>
    <n v="30"/>
    <n v="40"/>
    <n v="30"/>
  </r>
  <r>
    <n v="481"/>
    <x v="0"/>
    <n v="6"/>
    <n v="6"/>
    <s v="Tuesday"/>
    <s v="June"/>
    <x v="264"/>
    <s v="CUST481"/>
    <x v="1"/>
    <x v="0"/>
    <n v="43"/>
    <x v="2"/>
    <n v="4"/>
    <n v="300"/>
    <n v="1200"/>
    <n v="18"/>
    <n v="24"/>
    <n v="18"/>
  </r>
  <r>
    <n v="482"/>
    <x v="0"/>
    <n v="4"/>
    <n v="27"/>
    <s v="Thursday"/>
    <s v="April"/>
    <x v="60"/>
    <s v="CUST482"/>
    <x v="1"/>
    <x v="1"/>
    <n v="28"/>
    <x v="1"/>
    <n v="4"/>
    <n v="300"/>
    <n v="1200"/>
    <n v="18"/>
    <n v="24"/>
    <n v="18"/>
  </r>
  <r>
    <n v="483"/>
    <x v="0"/>
    <n v="4"/>
    <n v="25"/>
    <s v="Tuesday"/>
    <s v="April"/>
    <x v="5"/>
    <s v="CUST483"/>
    <x v="0"/>
    <x v="2"/>
    <n v="55"/>
    <x v="1"/>
    <n v="1"/>
    <n v="30"/>
    <n v="30"/>
    <n v="0.44999999999999996"/>
    <n v="0.6"/>
    <n v="0.44999999999999996"/>
  </r>
  <r>
    <n v="484"/>
    <x v="0"/>
    <n v="1"/>
    <n v="13"/>
    <s v="Friday"/>
    <s v="January"/>
    <x v="2"/>
    <s v="CUST484"/>
    <x v="1"/>
    <x v="1"/>
    <n v="19"/>
    <x v="1"/>
    <n v="4"/>
    <n v="300"/>
    <n v="1200"/>
    <n v="18"/>
    <n v="24"/>
    <n v="18"/>
  </r>
  <r>
    <n v="485"/>
    <x v="0"/>
    <n v="12"/>
    <n v="4"/>
    <s v="Monday"/>
    <s v="December"/>
    <x v="151"/>
    <s v="CUST485"/>
    <x v="0"/>
    <x v="1"/>
    <n v="24"/>
    <x v="2"/>
    <n v="1"/>
    <n v="30"/>
    <n v="30"/>
    <n v="0.44999999999999996"/>
    <n v="0.6"/>
    <n v="0.44999999999999996"/>
  </r>
  <r>
    <n v="486"/>
    <x v="0"/>
    <n v="4"/>
    <n v="9"/>
    <s v="Sunday"/>
    <s v="April"/>
    <x v="55"/>
    <s v="CUST486"/>
    <x v="1"/>
    <x v="0"/>
    <n v="35"/>
    <x v="2"/>
    <n v="1"/>
    <n v="25"/>
    <n v="25"/>
    <n v="0.375"/>
    <n v="0.5"/>
    <n v="0.375"/>
  </r>
  <r>
    <n v="487"/>
    <x v="0"/>
    <n v="7"/>
    <n v="24"/>
    <s v="Monday"/>
    <s v="July"/>
    <x v="104"/>
    <s v="CUST487"/>
    <x v="0"/>
    <x v="0"/>
    <n v="44"/>
    <x v="1"/>
    <n v="4"/>
    <n v="500"/>
    <n v="2000"/>
    <n v="30"/>
    <n v="40"/>
    <n v="30"/>
  </r>
  <r>
    <n v="488"/>
    <x v="0"/>
    <n v="6"/>
    <n v="18"/>
    <s v="Sunday"/>
    <s v="June"/>
    <x v="265"/>
    <s v="CUST488"/>
    <x v="1"/>
    <x v="2"/>
    <n v="51"/>
    <x v="2"/>
    <n v="3"/>
    <n v="300"/>
    <n v="900"/>
    <n v="13.5"/>
    <n v="18"/>
    <n v="13.5"/>
  </r>
  <r>
    <n v="489"/>
    <x v="0"/>
    <n v="5"/>
    <n v="23"/>
    <s v="Tuesday"/>
    <s v="May"/>
    <x v="29"/>
    <s v="CUST489"/>
    <x v="0"/>
    <x v="0"/>
    <n v="44"/>
    <x v="2"/>
    <n v="1"/>
    <n v="30"/>
    <n v="30"/>
    <n v="0.44999999999999996"/>
    <n v="0.6"/>
    <n v="0.44999999999999996"/>
  </r>
  <r>
    <n v="490"/>
    <x v="0"/>
    <n v="2"/>
    <n v="5"/>
    <s v="Sunday"/>
    <s v="February"/>
    <x v="57"/>
    <s v="CUST490"/>
    <x v="0"/>
    <x v="0"/>
    <n v="34"/>
    <x v="1"/>
    <n v="3"/>
    <n v="50"/>
    <n v="150"/>
    <n v="2.25"/>
    <n v="3"/>
    <n v="2.25"/>
  </r>
  <r>
    <n v="491"/>
    <x v="0"/>
    <n v="5"/>
    <n v="23"/>
    <s v="Tuesday"/>
    <s v="May"/>
    <x v="29"/>
    <s v="CUST491"/>
    <x v="1"/>
    <x v="2"/>
    <n v="60"/>
    <x v="2"/>
    <n v="3"/>
    <n v="300"/>
    <n v="900"/>
    <n v="13.5"/>
    <n v="18"/>
    <n v="13.5"/>
  </r>
  <r>
    <n v="492"/>
    <x v="0"/>
    <n v="6"/>
    <n v="29"/>
    <s v="Thursday"/>
    <s v="June"/>
    <x v="263"/>
    <s v="CUST492"/>
    <x v="0"/>
    <x v="2"/>
    <n v="61"/>
    <x v="0"/>
    <n v="4"/>
    <n v="25"/>
    <n v="100"/>
    <n v="1.5"/>
    <n v="2"/>
    <n v="1.5"/>
  </r>
  <r>
    <n v="493"/>
    <x v="0"/>
    <n v="11"/>
    <n v="25"/>
    <s v="Saturday"/>
    <s v="November"/>
    <x v="123"/>
    <s v="CUST493"/>
    <x v="0"/>
    <x v="0"/>
    <n v="41"/>
    <x v="0"/>
    <n v="2"/>
    <n v="25"/>
    <n v="50"/>
    <n v="0.75"/>
    <n v="1"/>
    <n v="0.75"/>
  </r>
  <r>
    <n v="494"/>
    <x v="0"/>
    <n v="9"/>
    <n v="18"/>
    <s v="Monday"/>
    <s v="September"/>
    <x v="106"/>
    <s v="CUST494"/>
    <x v="1"/>
    <x v="0"/>
    <n v="42"/>
    <x v="0"/>
    <n v="4"/>
    <n v="50"/>
    <n v="200"/>
    <n v="3"/>
    <n v="4"/>
    <n v="3"/>
  </r>
  <r>
    <n v="495"/>
    <x v="0"/>
    <n v="7"/>
    <n v="24"/>
    <s v="Monday"/>
    <s v="July"/>
    <x v="104"/>
    <s v="CUST495"/>
    <x v="0"/>
    <x v="1"/>
    <n v="24"/>
    <x v="0"/>
    <n v="2"/>
    <n v="30"/>
    <n v="60"/>
    <n v="0.89999999999999991"/>
    <n v="1.2"/>
    <n v="0.89999999999999991"/>
  </r>
  <r>
    <n v="496"/>
    <x v="0"/>
    <n v="12"/>
    <n v="14"/>
    <s v="Thursday"/>
    <s v="December"/>
    <x v="266"/>
    <s v="CUST496"/>
    <x v="0"/>
    <x v="1"/>
    <n v="23"/>
    <x v="1"/>
    <n v="2"/>
    <n v="300"/>
    <n v="600"/>
    <n v="9"/>
    <n v="12"/>
    <n v="9"/>
  </r>
  <r>
    <n v="497"/>
    <x v="0"/>
    <n v="10"/>
    <n v="2"/>
    <s v="Monday"/>
    <s v="October"/>
    <x v="45"/>
    <s v="CUST497"/>
    <x v="0"/>
    <x v="0"/>
    <n v="41"/>
    <x v="1"/>
    <n v="4"/>
    <n v="30"/>
    <n v="120"/>
    <n v="1.7999999999999998"/>
    <n v="2.4"/>
    <n v="1.7999999999999998"/>
  </r>
  <r>
    <n v="498"/>
    <x v="0"/>
    <n v="6"/>
    <n v="19"/>
    <s v="Monday"/>
    <s v="June"/>
    <x v="171"/>
    <s v="CUST498"/>
    <x v="1"/>
    <x v="2"/>
    <n v="50"/>
    <x v="1"/>
    <n v="4"/>
    <n v="25"/>
    <n v="100"/>
    <n v="1.5"/>
    <n v="2"/>
    <n v="1.5"/>
  </r>
  <r>
    <n v="499"/>
    <x v="0"/>
    <n v="1"/>
    <n v="15"/>
    <s v="Sunday"/>
    <s v="January"/>
    <x v="267"/>
    <s v="CUST499"/>
    <x v="0"/>
    <x v="0"/>
    <n v="46"/>
    <x v="0"/>
    <n v="2"/>
    <n v="30"/>
    <n v="60"/>
    <n v="0.89999999999999991"/>
    <n v="1.2"/>
    <n v="0.89999999999999991"/>
  </r>
  <r>
    <n v="500"/>
    <x v="0"/>
    <n v="3"/>
    <n v="1"/>
    <s v="Wednesday"/>
    <s v="March"/>
    <x v="240"/>
    <s v="CUST500"/>
    <x v="1"/>
    <x v="2"/>
    <n v="60"/>
    <x v="0"/>
    <n v="4"/>
    <n v="25"/>
    <n v="100"/>
    <n v="1.5"/>
    <n v="2"/>
    <n v="1.5"/>
  </r>
  <r>
    <n v="501"/>
    <x v="0"/>
    <n v="5"/>
    <n v="14"/>
    <s v="Sunday"/>
    <s v="May"/>
    <x v="224"/>
    <s v="CUST501"/>
    <x v="0"/>
    <x v="0"/>
    <n v="39"/>
    <x v="2"/>
    <n v="2"/>
    <n v="30"/>
    <n v="60"/>
    <n v="0.89999999999999991"/>
    <n v="1.2"/>
    <n v="0.89999999999999991"/>
  </r>
  <r>
    <n v="502"/>
    <x v="0"/>
    <n v="4"/>
    <n v="2"/>
    <s v="Sunday"/>
    <s v="April"/>
    <x v="128"/>
    <s v="CUST502"/>
    <x v="0"/>
    <x v="0"/>
    <n v="43"/>
    <x v="2"/>
    <n v="3"/>
    <n v="50"/>
    <n v="150"/>
    <n v="2.25"/>
    <n v="3"/>
    <n v="2.25"/>
  </r>
  <r>
    <n v="503"/>
    <x v="0"/>
    <n v="10"/>
    <n v="25"/>
    <s v="Wednesday"/>
    <s v="October"/>
    <x v="268"/>
    <s v="CUST503"/>
    <x v="0"/>
    <x v="0"/>
    <n v="45"/>
    <x v="0"/>
    <n v="4"/>
    <n v="500"/>
    <n v="2000"/>
    <n v="30"/>
    <n v="40"/>
    <n v="30"/>
  </r>
  <r>
    <n v="504"/>
    <x v="0"/>
    <n v="5"/>
    <n v="16"/>
    <s v="Tuesday"/>
    <s v="May"/>
    <x v="42"/>
    <s v="CUST504"/>
    <x v="1"/>
    <x v="0"/>
    <n v="38"/>
    <x v="0"/>
    <n v="3"/>
    <n v="50"/>
    <n v="150"/>
    <n v="2.25"/>
    <n v="3"/>
    <n v="2.25"/>
  </r>
  <r>
    <n v="505"/>
    <x v="0"/>
    <n v="1"/>
    <n v="20"/>
    <s v="Friday"/>
    <s v="January"/>
    <x v="260"/>
    <s v="CUST505"/>
    <x v="0"/>
    <x v="1"/>
    <n v="24"/>
    <x v="0"/>
    <n v="1"/>
    <n v="50"/>
    <n v="50"/>
    <n v="0.75"/>
    <n v="1"/>
    <n v="0.75"/>
  </r>
  <r>
    <n v="506"/>
    <x v="0"/>
    <n v="2"/>
    <n v="25"/>
    <s v="Saturday"/>
    <s v="February"/>
    <x v="192"/>
    <s v="CUST506"/>
    <x v="0"/>
    <x v="0"/>
    <n v="34"/>
    <x v="0"/>
    <n v="3"/>
    <n v="500"/>
    <n v="1500"/>
    <n v="22.5"/>
    <n v="30"/>
    <n v="22.5"/>
  </r>
  <r>
    <n v="507"/>
    <x v="0"/>
    <n v="11"/>
    <n v="2"/>
    <s v="Thursday"/>
    <s v="November"/>
    <x v="113"/>
    <s v="CUST507"/>
    <x v="1"/>
    <x v="0"/>
    <n v="37"/>
    <x v="2"/>
    <n v="3"/>
    <n v="500"/>
    <n v="1500"/>
    <n v="22.5"/>
    <n v="30"/>
    <n v="22.5"/>
  </r>
  <r>
    <n v="508"/>
    <x v="0"/>
    <n v="8"/>
    <n v="11"/>
    <s v="Friday"/>
    <s v="August"/>
    <x v="124"/>
    <s v="CUST508"/>
    <x v="0"/>
    <x v="2"/>
    <n v="58"/>
    <x v="0"/>
    <n v="2"/>
    <n v="300"/>
    <n v="600"/>
    <n v="9"/>
    <n v="12"/>
    <n v="9"/>
  </r>
  <r>
    <n v="509"/>
    <x v="0"/>
    <n v="6"/>
    <n v="26"/>
    <s v="Monday"/>
    <s v="June"/>
    <x v="40"/>
    <s v="CUST509"/>
    <x v="1"/>
    <x v="0"/>
    <n v="37"/>
    <x v="2"/>
    <n v="3"/>
    <n v="300"/>
    <n v="900"/>
    <n v="13.5"/>
    <n v="18"/>
    <n v="13.5"/>
  </r>
  <r>
    <n v="510"/>
    <x v="0"/>
    <n v="6"/>
    <n v="10"/>
    <s v="Saturday"/>
    <s v="June"/>
    <x v="210"/>
    <s v="CUST510"/>
    <x v="1"/>
    <x v="0"/>
    <n v="39"/>
    <x v="0"/>
    <n v="4"/>
    <n v="50"/>
    <n v="200"/>
    <n v="3"/>
    <n v="4"/>
    <n v="3"/>
  </r>
  <r>
    <n v="511"/>
    <x v="0"/>
    <n v="8"/>
    <n v="12"/>
    <s v="Saturday"/>
    <s v="August"/>
    <x v="269"/>
    <s v="CUST511"/>
    <x v="0"/>
    <x v="0"/>
    <n v="45"/>
    <x v="0"/>
    <n v="2"/>
    <n v="50"/>
    <n v="100"/>
    <n v="1.5"/>
    <n v="2"/>
    <n v="1.5"/>
  </r>
  <r>
    <n v="512"/>
    <x v="0"/>
    <n v="11"/>
    <n v="7"/>
    <s v="Tuesday"/>
    <s v="November"/>
    <x v="155"/>
    <s v="CUST512"/>
    <x v="1"/>
    <x v="2"/>
    <n v="57"/>
    <x v="0"/>
    <n v="1"/>
    <n v="25"/>
    <n v="25"/>
    <n v="0.375"/>
    <n v="0.5"/>
    <n v="0.375"/>
  </r>
  <r>
    <n v="513"/>
    <x v="0"/>
    <n v="9"/>
    <n v="19"/>
    <s v="Tuesday"/>
    <s v="September"/>
    <x v="270"/>
    <s v="CUST513"/>
    <x v="0"/>
    <x v="1"/>
    <n v="24"/>
    <x v="2"/>
    <n v="4"/>
    <n v="25"/>
    <n v="100"/>
    <n v="1.5"/>
    <n v="2"/>
    <n v="1.5"/>
  </r>
  <r>
    <n v="514"/>
    <x v="0"/>
    <n v="3"/>
    <n v="1"/>
    <s v="Wednesday"/>
    <s v="March"/>
    <x v="240"/>
    <s v="CUST514"/>
    <x v="1"/>
    <x v="1"/>
    <n v="18"/>
    <x v="2"/>
    <n v="1"/>
    <n v="300"/>
    <n v="300"/>
    <n v="4.5"/>
    <n v="6"/>
    <n v="4.5"/>
  </r>
  <r>
    <n v="515"/>
    <x v="0"/>
    <n v="7"/>
    <n v="17"/>
    <s v="Monday"/>
    <s v="July"/>
    <x v="115"/>
    <s v="CUST515"/>
    <x v="1"/>
    <x v="0"/>
    <n v="49"/>
    <x v="1"/>
    <n v="3"/>
    <n v="300"/>
    <n v="900"/>
    <n v="13.5"/>
    <n v="18"/>
    <n v="13.5"/>
  </r>
  <r>
    <n v="516"/>
    <x v="0"/>
    <n v="10"/>
    <n v="23"/>
    <s v="Monday"/>
    <s v="October"/>
    <x v="54"/>
    <s v="CUST516"/>
    <x v="0"/>
    <x v="0"/>
    <n v="30"/>
    <x v="0"/>
    <n v="4"/>
    <n v="25"/>
    <n v="100"/>
    <n v="1.5"/>
    <n v="2"/>
    <n v="1.5"/>
  </r>
  <r>
    <n v="517"/>
    <x v="0"/>
    <n v="4"/>
    <n v="8"/>
    <s v="Saturday"/>
    <s v="April"/>
    <x v="181"/>
    <s v="CUST517"/>
    <x v="1"/>
    <x v="0"/>
    <n v="47"/>
    <x v="1"/>
    <n v="4"/>
    <n v="25"/>
    <n v="100"/>
    <n v="1.5"/>
    <n v="2"/>
    <n v="1.5"/>
  </r>
  <r>
    <n v="518"/>
    <x v="0"/>
    <n v="5"/>
    <n v="11"/>
    <s v="Thursday"/>
    <s v="May"/>
    <x v="271"/>
    <s v="CUST518"/>
    <x v="1"/>
    <x v="0"/>
    <n v="40"/>
    <x v="1"/>
    <n v="1"/>
    <n v="30"/>
    <n v="30"/>
    <n v="0.44999999999999996"/>
    <n v="0.6"/>
    <n v="0.44999999999999996"/>
  </r>
  <r>
    <n v="519"/>
    <x v="0"/>
    <n v="1"/>
    <n v="23"/>
    <s v="Monday"/>
    <s v="January"/>
    <x v="43"/>
    <s v="CUST519"/>
    <x v="1"/>
    <x v="0"/>
    <n v="36"/>
    <x v="2"/>
    <n v="4"/>
    <n v="30"/>
    <n v="120"/>
    <n v="1.7999999999999998"/>
    <n v="2.4"/>
    <n v="1.7999999999999998"/>
  </r>
  <r>
    <n v="520"/>
    <x v="0"/>
    <n v="12"/>
    <n v="29"/>
    <s v="Friday"/>
    <s v="December"/>
    <x v="167"/>
    <s v="CUST520"/>
    <x v="1"/>
    <x v="0"/>
    <n v="49"/>
    <x v="2"/>
    <n v="4"/>
    <n v="25"/>
    <n v="100"/>
    <n v="1.5"/>
    <n v="2"/>
    <n v="1.5"/>
  </r>
  <r>
    <n v="521"/>
    <x v="0"/>
    <n v="8"/>
    <n v="12"/>
    <s v="Saturday"/>
    <s v="August"/>
    <x v="269"/>
    <s v="CUST521"/>
    <x v="1"/>
    <x v="0"/>
    <n v="47"/>
    <x v="1"/>
    <n v="4"/>
    <n v="30"/>
    <n v="120"/>
    <n v="1.7999999999999998"/>
    <n v="2.4"/>
    <n v="1.7999999999999998"/>
  </r>
  <r>
    <n v="522"/>
    <x v="0"/>
    <n v="1"/>
    <n v="1"/>
    <s v="Sunday"/>
    <s v="January"/>
    <x v="137"/>
    <s v="CUST522"/>
    <x v="0"/>
    <x v="0"/>
    <n v="46"/>
    <x v="0"/>
    <n v="3"/>
    <n v="500"/>
    <n v="1500"/>
    <n v="22.5"/>
    <n v="30"/>
    <n v="22.5"/>
  </r>
  <r>
    <n v="523"/>
    <x v="0"/>
    <n v="9"/>
    <n v="24"/>
    <s v="Sunday"/>
    <s v="September"/>
    <x v="272"/>
    <s v="CUST523"/>
    <x v="1"/>
    <x v="2"/>
    <n v="62"/>
    <x v="2"/>
    <n v="1"/>
    <n v="300"/>
    <n v="300"/>
    <n v="4.5"/>
    <n v="6"/>
    <n v="4.5"/>
  </r>
  <r>
    <n v="524"/>
    <x v="0"/>
    <n v="10"/>
    <n v="3"/>
    <s v="Tuesday"/>
    <s v="October"/>
    <x v="99"/>
    <s v="CUST524"/>
    <x v="0"/>
    <x v="0"/>
    <n v="46"/>
    <x v="0"/>
    <n v="4"/>
    <n v="300"/>
    <n v="1200"/>
    <n v="18"/>
    <n v="24"/>
    <n v="18"/>
  </r>
  <r>
    <n v="525"/>
    <x v="0"/>
    <n v="12"/>
    <n v="18"/>
    <s v="Monday"/>
    <s v="December"/>
    <x v="244"/>
    <s v="CUST525"/>
    <x v="1"/>
    <x v="0"/>
    <n v="47"/>
    <x v="0"/>
    <n v="2"/>
    <n v="25"/>
    <n v="50"/>
    <n v="0.75"/>
    <n v="1"/>
    <n v="0.75"/>
  </r>
  <r>
    <n v="526"/>
    <x v="0"/>
    <n v="12"/>
    <n v="10"/>
    <s v="Sunday"/>
    <s v="December"/>
    <x v="70"/>
    <s v="CUST526"/>
    <x v="0"/>
    <x v="0"/>
    <n v="33"/>
    <x v="1"/>
    <n v="2"/>
    <n v="50"/>
    <n v="100"/>
    <n v="1.5"/>
    <n v="2"/>
    <n v="1.5"/>
  </r>
  <r>
    <n v="527"/>
    <x v="0"/>
    <n v="4"/>
    <n v="11"/>
    <s v="Tuesday"/>
    <s v="April"/>
    <x v="273"/>
    <s v="CUST527"/>
    <x v="0"/>
    <x v="2"/>
    <n v="57"/>
    <x v="1"/>
    <n v="2"/>
    <n v="25"/>
    <n v="50"/>
    <n v="0.75"/>
    <n v="1"/>
    <n v="0.75"/>
  </r>
  <r>
    <n v="528"/>
    <x v="0"/>
    <n v="7"/>
    <n v="6"/>
    <s v="Thursday"/>
    <s v="July"/>
    <x v="65"/>
    <s v="CUST528"/>
    <x v="1"/>
    <x v="0"/>
    <n v="36"/>
    <x v="1"/>
    <n v="2"/>
    <n v="30"/>
    <n v="60"/>
    <n v="0.89999999999999991"/>
    <n v="1.2"/>
    <n v="0.89999999999999991"/>
  </r>
  <r>
    <n v="529"/>
    <x v="0"/>
    <n v="8"/>
    <n v="9"/>
    <s v="Wednesday"/>
    <s v="August"/>
    <x v="183"/>
    <s v="CUST529"/>
    <x v="1"/>
    <x v="0"/>
    <n v="35"/>
    <x v="1"/>
    <n v="3"/>
    <n v="50"/>
    <n v="150"/>
    <n v="2.25"/>
    <n v="3"/>
    <n v="2.25"/>
  </r>
  <r>
    <n v="530"/>
    <x v="0"/>
    <n v="2"/>
    <n v="5"/>
    <s v="Sunday"/>
    <s v="February"/>
    <x v="57"/>
    <s v="CUST530"/>
    <x v="1"/>
    <x v="1"/>
    <n v="18"/>
    <x v="2"/>
    <n v="4"/>
    <n v="30"/>
    <n v="120"/>
    <n v="1.7999999999999998"/>
    <n v="2.4"/>
    <n v="1.7999999999999998"/>
  </r>
  <r>
    <n v="531"/>
    <x v="0"/>
    <n v="12"/>
    <n v="7"/>
    <s v="Thursday"/>
    <s v="December"/>
    <x v="274"/>
    <s v="CUST531"/>
    <x v="0"/>
    <x v="0"/>
    <n v="31"/>
    <x v="2"/>
    <n v="1"/>
    <n v="500"/>
    <n v="500"/>
    <n v="7.5"/>
    <n v="10"/>
    <n v="7.5"/>
  </r>
  <r>
    <n v="532"/>
    <x v="0"/>
    <n v="6"/>
    <n v="19"/>
    <s v="Monday"/>
    <s v="June"/>
    <x v="171"/>
    <s v="CUST532"/>
    <x v="1"/>
    <x v="2"/>
    <n v="64"/>
    <x v="1"/>
    <n v="4"/>
    <n v="30"/>
    <n v="120"/>
    <n v="1.7999999999999998"/>
    <n v="2.4"/>
    <n v="1.7999999999999998"/>
  </r>
  <r>
    <n v="533"/>
    <x v="0"/>
    <n v="11"/>
    <n v="16"/>
    <s v="Thursday"/>
    <s v="November"/>
    <x v="275"/>
    <s v="CUST533"/>
    <x v="0"/>
    <x v="1"/>
    <n v="19"/>
    <x v="2"/>
    <n v="3"/>
    <n v="500"/>
    <n v="1500"/>
    <n v="22.5"/>
    <n v="30"/>
    <n v="22.5"/>
  </r>
  <r>
    <n v="534"/>
    <x v="0"/>
    <n v="6"/>
    <n v="10"/>
    <s v="Saturday"/>
    <s v="June"/>
    <x v="210"/>
    <s v="CUST534"/>
    <x v="0"/>
    <x v="0"/>
    <n v="45"/>
    <x v="1"/>
    <n v="2"/>
    <n v="500"/>
    <n v="1000"/>
    <n v="15"/>
    <n v="20"/>
    <n v="15"/>
  </r>
  <r>
    <n v="535"/>
    <x v="0"/>
    <n v="12"/>
    <n v="6"/>
    <s v="Wednesday"/>
    <s v="December"/>
    <x v="237"/>
    <s v="CUST535"/>
    <x v="0"/>
    <x v="0"/>
    <n v="47"/>
    <x v="0"/>
    <n v="3"/>
    <n v="30"/>
    <n v="90"/>
    <n v="1.3499999999999999"/>
    <n v="1.8"/>
    <n v="1.3499999999999999"/>
  </r>
  <r>
    <n v="536"/>
    <x v="0"/>
    <n v="3"/>
    <n v="5"/>
    <s v="Sunday"/>
    <s v="March"/>
    <x v="46"/>
    <s v="CUST536"/>
    <x v="1"/>
    <x v="2"/>
    <n v="55"/>
    <x v="0"/>
    <n v="4"/>
    <n v="30"/>
    <n v="120"/>
    <n v="1.7999999999999998"/>
    <n v="2.4"/>
    <n v="1.7999999999999998"/>
  </r>
  <r>
    <n v="537"/>
    <x v="0"/>
    <n v="6"/>
    <n v="3"/>
    <s v="Saturday"/>
    <s v="June"/>
    <x v="226"/>
    <s v="CUST537"/>
    <x v="1"/>
    <x v="1"/>
    <n v="21"/>
    <x v="0"/>
    <n v="1"/>
    <n v="500"/>
    <n v="500"/>
    <n v="7.5"/>
    <n v="10"/>
    <n v="7.5"/>
  </r>
  <r>
    <n v="538"/>
    <x v="0"/>
    <n v="9"/>
    <n v="17"/>
    <s v="Sunday"/>
    <s v="September"/>
    <x v="129"/>
    <s v="CUST538"/>
    <x v="0"/>
    <x v="1"/>
    <n v="18"/>
    <x v="1"/>
    <n v="3"/>
    <n v="50"/>
    <n v="150"/>
    <n v="2.25"/>
    <n v="3"/>
    <n v="2.25"/>
  </r>
  <r>
    <n v="539"/>
    <x v="0"/>
    <n v="6"/>
    <n v="8"/>
    <s v="Thursday"/>
    <s v="June"/>
    <x v="276"/>
    <s v="CUST539"/>
    <x v="0"/>
    <x v="1"/>
    <n v="25"/>
    <x v="0"/>
    <n v="1"/>
    <n v="500"/>
    <n v="500"/>
    <n v="7.5"/>
    <n v="10"/>
    <n v="7.5"/>
  </r>
  <r>
    <n v="540"/>
    <x v="0"/>
    <n v="12"/>
    <n v="8"/>
    <s v="Friday"/>
    <s v="December"/>
    <x v="236"/>
    <s v="CUST540"/>
    <x v="1"/>
    <x v="0"/>
    <n v="46"/>
    <x v="2"/>
    <n v="3"/>
    <n v="300"/>
    <n v="900"/>
    <n v="13.5"/>
    <n v="18"/>
    <n v="13.5"/>
  </r>
  <r>
    <n v="541"/>
    <x v="0"/>
    <n v="7"/>
    <n v="29"/>
    <s v="Saturday"/>
    <s v="July"/>
    <x v="277"/>
    <s v="CUST541"/>
    <x v="0"/>
    <x v="2"/>
    <n v="56"/>
    <x v="0"/>
    <n v="1"/>
    <n v="500"/>
    <n v="500"/>
    <n v="7.5"/>
    <n v="10"/>
    <n v="7.5"/>
  </r>
  <r>
    <n v="542"/>
    <x v="0"/>
    <n v="6"/>
    <n v="17"/>
    <s v="Saturday"/>
    <s v="June"/>
    <x v="278"/>
    <s v="CUST542"/>
    <x v="1"/>
    <x v="1"/>
    <n v="20"/>
    <x v="0"/>
    <n v="1"/>
    <n v="50"/>
    <n v="50"/>
    <n v="0.75"/>
    <n v="1"/>
    <n v="0.75"/>
  </r>
  <r>
    <n v="543"/>
    <x v="0"/>
    <n v="7"/>
    <n v="26"/>
    <s v="Wednesday"/>
    <s v="July"/>
    <x v="191"/>
    <s v="CUST543"/>
    <x v="0"/>
    <x v="0"/>
    <n v="49"/>
    <x v="0"/>
    <n v="2"/>
    <n v="300"/>
    <n v="600"/>
    <n v="9"/>
    <n v="12"/>
    <n v="9"/>
  </r>
  <r>
    <n v="544"/>
    <x v="0"/>
    <n v="12"/>
    <n v="23"/>
    <s v="Saturday"/>
    <s v="December"/>
    <x v="204"/>
    <s v="CUST544"/>
    <x v="1"/>
    <x v="1"/>
    <n v="27"/>
    <x v="2"/>
    <n v="1"/>
    <n v="25"/>
    <n v="25"/>
    <n v="0.375"/>
    <n v="0.5"/>
    <n v="0.375"/>
  </r>
  <r>
    <n v="545"/>
    <x v="0"/>
    <n v="6"/>
    <n v="1"/>
    <s v="Thursday"/>
    <s v="June"/>
    <x v="207"/>
    <s v="CUST545"/>
    <x v="0"/>
    <x v="1"/>
    <n v="27"/>
    <x v="1"/>
    <n v="2"/>
    <n v="25"/>
    <n v="50"/>
    <n v="0.75"/>
    <n v="1"/>
    <n v="0.75"/>
  </r>
  <r>
    <n v="546"/>
    <x v="0"/>
    <n v="10"/>
    <n v="11"/>
    <s v="Wednesday"/>
    <s v="October"/>
    <x v="120"/>
    <s v="CUST546"/>
    <x v="1"/>
    <x v="0"/>
    <n v="36"/>
    <x v="2"/>
    <n v="4"/>
    <n v="50"/>
    <n v="200"/>
    <n v="3"/>
    <n v="4"/>
    <n v="3"/>
  </r>
  <r>
    <n v="547"/>
    <x v="0"/>
    <n v="3"/>
    <n v="7"/>
    <s v="Tuesday"/>
    <s v="March"/>
    <x v="150"/>
    <s v="CUST547"/>
    <x v="0"/>
    <x v="2"/>
    <n v="63"/>
    <x v="1"/>
    <n v="4"/>
    <n v="500"/>
    <n v="2000"/>
    <n v="30"/>
    <n v="40"/>
    <n v="30"/>
  </r>
  <r>
    <n v="548"/>
    <x v="0"/>
    <n v="4"/>
    <n v="9"/>
    <s v="Sunday"/>
    <s v="April"/>
    <x v="55"/>
    <s v="CUST548"/>
    <x v="1"/>
    <x v="2"/>
    <n v="51"/>
    <x v="1"/>
    <n v="2"/>
    <n v="30"/>
    <n v="60"/>
    <n v="0.89999999999999991"/>
    <n v="1.2"/>
    <n v="0.89999999999999991"/>
  </r>
  <r>
    <n v="549"/>
    <x v="0"/>
    <n v="8"/>
    <n v="4"/>
    <s v="Friday"/>
    <s v="August"/>
    <x v="279"/>
    <s v="CUST549"/>
    <x v="1"/>
    <x v="2"/>
    <n v="50"/>
    <x v="0"/>
    <n v="2"/>
    <n v="50"/>
    <n v="100"/>
    <n v="1.5"/>
    <n v="2"/>
    <n v="1.5"/>
  </r>
  <r>
    <n v="550"/>
    <x v="0"/>
    <n v="12"/>
    <n v="7"/>
    <s v="Thursday"/>
    <s v="December"/>
    <x v="274"/>
    <s v="CUST550"/>
    <x v="0"/>
    <x v="0"/>
    <n v="40"/>
    <x v="1"/>
    <n v="3"/>
    <n v="300"/>
    <n v="900"/>
    <n v="13.5"/>
    <n v="18"/>
    <n v="13.5"/>
  </r>
  <r>
    <n v="551"/>
    <x v="0"/>
    <n v="7"/>
    <n v="14"/>
    <s v="Friday"/>
    <s v="July"/>
    <x v="37"/>
    <s v="CUST551"/>
    <x v="0"/>
    <x v="0"/>
    <n v="45"/>
    <x v="2"/>
    <n v="3"/>
    <n v="300"/>
    <n v="900"/>
    <n v="13.5"/>
    <n v="18"/>
    <n v="13.5"/>
  </r>
  <r>
    <n v="552"/>
    <x v="0"/>
    <n v="12"/>
    <n v="13"/>
    <s v="Wednesday"/>
    <s v="December"/>
    <x v="8"/>
    <s v="CUST552"/>
    <x v="1"/>
    <x v="0"/>
    <n v="49"/>
    <x v="2"/>
    <n v="3"/>
    <n v="25"/>
    <n v="75"/>
    <n v="1.125"/>
    <n v="1.5"/>
    <n v="1.125"/>
  </r>
  <r>
    <n v="553"/>
    <x v="0"/>
    <n v="3"/>
    <n v="31"/>
    <s v="Friday"/>
    <s v="March"/>
    <x v="280"/>
    <s v="CUST553"/>
    <x v="0"/>
    <x v="1"/>
    <n v="24"/>
    <x v="1"/>
    <n v="4"/>
    <n v="300"/>
    <n v="1200"/>
    <n v="18"/>
    <n v="24"/>
    <n v="18"/>
  </r>
  <r>
    <n v="554"/>
    <x v="0"/>
    <n v="11"/>
    <n v="12"/>
    <s v="Sunday"/>
    <s v="November"/>
    <x v="281"/>
    <s v="CUST554"/>
    <x v="1"/>
    <x v="0"/>
    <n v="46"/>
    <x v="0"/>
    <n v="3"/>
    <n v="50"/>
    <n v="150"/>
    <n v="2.25"/>
    <n v="3"/>
    <n v="2.25"/>
  </r>
  <r>
    <n v="555"/>
    <x v="0"/>
    <n v="10"/>
    <n v="19"/>
    <s v="Thursday"/>
    <s v="October"/>
    <x v="218"/>
    <s v="CUST555"/>
    <x v="0"/>
    <x v="1"/>
    <n v="25"/>
    <x v="0"/>
    <n v="1"/>
    <n v="300"/>
    <n v="300"/>
    <n v="4.5"/>
    <n v="6"/>
    <n v="4.5"/>
  </r>
  <r>
    <n v="556"/>
    <x v="0"/>
    <n v="6"/>
    <n v="4"/>
    <s v="Sunday"/>
    <s v="June"/>
    <x v="234"/>
    <s v="CUST556"/>
    <x v="1"/>
    <x v="1"/>
    <n v="18"/>
    <x v="2"/>
    <n v="1"/>
    <n v="50"/>
    <n v="50"/>
    <n v="0.75"/>
    <n v="1"/>
    <n v="0.75"/>
  </r>
  <r>
    <n v="557"/>
    <x v="0"/>
    <n v="7"/>
    <n v="27"/>
    <s v="Thursday"/>
    <s v="July"/>
    <x v="282"/>
    <s v="CUST557"/>
    <x v="1"/>
    <x v="1"/>
    <n v="20"/>
    <x v="0"/>
    <n v="3"/>
    <n v="30"/>
    <n v="90"/>
    <n v="1.3499999999999999"/>
    <n v="1.8"/>
    <n v="1.3499999999999999"/>
  </r>
  <r>
    <n v="558"/>
    <x v="0"/>
    <n v="10"/>
    <n v="8"/>
    <s v="Sunday"/>
    <s v="October"/>
    <x v="283"/>
    <s v="CUST558"/>
    <x v="1"/>
    <x v="0"/>
    <n v="41"/>
    <x v="1"/>
    <n v="1"/>
    <n v="25"/>
    <n v="25"/>
    <n v="0.375"/>
    <n v="0.5"/>
    <n v="0.375"/>
  </r>
  <r>
    <n v="559"/>
    <x v="0"/>
    <n v="1"/>
    <n v="1"/>
    <s v="Sunday"/>
    <s v="January"/>
    <x v="137"/>
    <s v="CUST559"/>
    <x v="1"/>
    <x v="0"/>
    <n v="40"/>
    <x v="1"/>
    <n v="4"/>
    <n v="300"/>
    <n v="1200"/>
    <n v="18"/>
    <n v="24"/>
    <n v="18"/>
  </r>
  <r>
    <n v="560"/>
    <x v="0"/>
    <n v="6"/>
    <n v="5"/>
    <s v="Monday"/>
    <s v="June"/>
    <x v="284"/>
    <s v="CUST560"/>
    <x v="1"/>
    <x v="1"/>
    <n v="25"/>
    <x v="2"/>
    <n v="1"/>
    <n v="50"/>
    <n v="50"/>
    <n v="0.75"/>
    <n v="1"/>
    <n v="0.75"/>
  </r>
  <r>
    <n v="561"/>
    <x v="0"/>
    <n v="5"/>
    <n v="27"/>
    <s v="Saturday"/>
    <s v="May"/>
    <x v="203"/>
    <s v="CUST561"/>
    <x v="1"/>
    <x v="2"/>
    <n v="64"/>
    <x v="1"/>
    <n v="4"/>
    <n v="500"/>
    <n v="2000"/>
    <n v="30"/>
    <n v="40"/>
    <n v="30"/>
  </r>
  <r>
    <n v="562"/>
    <x v="0"/>
    <n v="4"/>
    <n v="18"/>
    <s v="Tuesday"/>
    <s v="April"/>
    <x v="69"/>
    <s v="CUST562"/>
    <x v="0"/>
    <x v="2"/>
    <n v="54"/>
    <x v="2"/>
    <n v="2"/>
    <n v="25"/>
    <n v="50"/>
    <n v="0.75"/>
    <n v="1"/>
    <n v="0.75"/>
  </r>
  <r>
    <n v="563"/>
    <x v="0"/>
    <n v="8"/>
    <n v="9"/>
    <s v="Wednesday"/>
    <s v="August"/>
    <x v="183"/>
    <s v="CUST563"/>
    <x v="0"/>
    <x v="1"/>
    <n v="20"/>
    <x v="1"/>
    <n v="2"/>
    <n v="30"/>
    <n v="60"/>
    <n v="0.89999999999999991"/>
    <n v="1.2"/>
    <n v="0.89999999999999991"/>
  </r>
  <r>
    <n v="564"/>
    <x v="0"/>
    <n v="10"/>
    <n v="24"/>
    <s v="Tuesday"/>
    <s v="October"/>
    <x v="208"/>
    <s v="CUST564"/>
    <x v="0"/>
    <x v="2"/>
    <n v="50"/>
    <x v="2"/>
    <n v="2"/>
    <n v="50"/>
    <n v="100"/>
    <n v="1.5"/>
    <n v="2"/>
    <n v="1.5"/>
  </r>
  <r>
    <n v="565"/>
    <x v="0"/>
    <n v="11"/>
    <n v="7"/>
    <s v="Tuesday"/>
    <s v="November"/>
    <x v="155"/>
    <s v="CUST565"/>
    <x v="1"/>
    <x v="0"/>
    <n v="45"/>
    <x v="0"/>
    <n v="2"/>
    <n v="30"/>
    <n v="60"/>
    <n v="0.89999999999999991"/>
    <n v="1.2"/>
    <n v="0.89999999999999991"/>
  </r>
  <r>
    <n v="566"/>
    <x v="0"/>
    <n v="12"/>
    <n v="2"/>
    <s v="Saturday"/>
    <s v="December"/>
    <x v="92"/>
    <s v="CUST566"/>
    <x v="1"/>
    <x v="2"/>
    <n v="64"/>
    <x v="1"/>
    <n v="1"/>
    <n v="30"/>
    <n v="30"/>
    <n v="0.44999999999999996"/>
    <n v="0.6"/>
    <n v="0.44999999999999996"/>
  </r>
  <r>
    <n v="567"/>
    <x v="0"/>
    <n v="6"/>
    <n v="14"/>
    <s v="Wednesday"/>
    <s v="June"/>
    <x v="285"/>
    <s v="CUST567"/>
    <x v="1"/>
    <x v="1"/>
    <n v="25"/>
    <x v="1"/>
    <n v="3"/>
    <n v="300"/>
    <n v="900"/>
    <n v="13.5"/>
    <n v="18"/>
    <n v="13.5"/>
  </r>
  <r>
    <n v="568"/>
    <x v="0"/>
    <n v="8"/>
    <n v="27"/>
    <s v="Sunday"/>
    <s v="August"/>
    <x v="286"/>
    <s v="CUST568"/>
    <x v="1"/>
    <x v="2"/>
    <n v="51"/>
    <x v="2"/>
    <n v="1"/>
    <n v="300"/>
    <n v="300"/>
    <n v="4.5"/>
    <n v="6"/>
    <n v="4.5"/>
  </r>
  <r>
    <n v="569"/>
    <x v="0"/>
    <n v="8"/>
    <n v="15"/>
    <s v="Tuesday"/>
    <s v="August"/>
    <x v="196"/>
    <s v="CUST569"/>
    <x v="0"/>
    <x v="2"/>
    <n v="52"/>
    <x v="2"/>
    <n v="4"/>
    <n v="50"/>
    <n v="200"/>
    <n v="3"/>
    <n v="4"/>
    <n v="3"/>
  </r>
  <r>
    <n v="570"/>
    <x v="0"/>
    <n v="8"/>
    <n v="15"/>
    <s v="Tuesday"/>
    <s v="August"/>
    <x v="196"/>
    <s v="CUST570"/>
    <x v="0"/>
    <x v="0"/>
    <n v="49"/>
    <x v="1"/>
    <n v="1"/>
    <n v="500"/>
    <n v="500"/>
    <n v="7.5"/>
    <n v="10"/>
    <n v="7.5"/>
  </r>
  <r>
    <n v="571"/>
    <x v="0"/>
    <n v="12"/>
    <n v="12"/>
    <s v="Tuesday"/>
    <s v="December"/>
    <x v="216"/>
    <s v="CUST571"/>
    <x v="1"/>
    <x v="0"/>
    <n v="41"/>
    <x v="2"/>
    <n v="1"/>
    <n v="50"/>
    <n v="50"/>
    <n v="0.75"/>
    <n v="1"/>
    <n v="0.75"/>
  </r>
  <r>
    <n v="572"/>
    <x v="0"/>
    <n v="4"/>
    <n v="20"/>
    <s v="Thursday"/>
    <s v="April"/>
    <x v="175"/>
    <s v="CUST572"/>
    <x v="0"/>
    <x v="0"/>
    <n v="31"/>
    <x v="1"/>
    <n v="4"/>
    <n v="500"/>
    <n v="2000"/>
    <n v="30"/>
    <n v="40"/>
    <n v="30"/>
  </r>
  <r>
    <n v="573"/>
    <x v="0"/>
    <n v="9"/>
    <n v="19"/>
    <s v="Tuesday"/>
    <s v="September"/>
    <x v="270"/>
    <s v="CUST573"/>
    <x v="0"/>
    <x v="0"/>
    <n v="49"/>
    <x v="0"/>
    <n v="2"/>
    <n v="30"/>
    <n v="60"/>
    <n v="0.89999999999999991"/>
    <n v="1.2"/>
    <n v="0.89999999999999991"/>
  </r>
  <r>
    <n v="574"/>
    <x v="0"/>
    <n v="8"/>
    <n v="31"/>
    <s v="Thursday"/>
    <s v="August"/>
    <x v="178"/>
    <s v="CUST574"/>
    <x v="1"/>
    <x v="2"/>
    <n v="63"/>
    <x v="2"/>
    <n v="2"/>
    <n v="25"/>
    <n v="50"/>
    <n v="0.75"/>
    <n v="1"/>
    <n v="0.75"/>
  </r>
  <r>
    <n v="575"/>
    <x v="0"/>
    <n v="3"/>
    <n v="28"/>
    <s v="Tuesday"/>
    <s v="March"/>
    <x v="287"/>
    <s v="CUST575"/>
    <x v="0"/>
    <x v="2"/>
    <n v="60"/>
    <x v="1"/>
    <n v="2"/>
    <n v="50"/>
    <n v="100"/>
    <n v="1.5"/>
    <n v="2"/>
    <n v="1.5"/>
  </r>
  <r>
    <n v="576"/>
    <x v="0"/>
    <n v="12"/>
    <n v="4"/>
    <s v="Monday"/>
    <s v="December"/>
    <x v="151"/>
    <s v="CUST576"/>
    <x v="1"/>
    <x v="0"/>
    <n v="33"/>
    <x v="0"/>
    <n v="3"/>
    <n v="50"/>
    <n v="150"/>
    <n v="2.25"/>
    <n v="3"/>
    <n v="2.25"/>
  </r>
  <r>
    <n v="577"/>
    <x v="0"/>
    <n v="2"/>
    <n v="13"/>
    <s v="Monday"/>
    <s v="February"/>
    <x v="146"/>
    <s v="CUST577"/>
    <x v="0"/>
    <x v="1"/>
    <n v="21"/>
    <x v="0"/>
    <n v="4"/>
    <n v="500"/>
    <n v="2000"/>
    <n v="30"/>
    <n v="40"/>
    <n v="30"/>
  </r>
  <r>
    <n v="578"/>
    <x v="0"/>
    <n v="5"/>
    <n v="26"/>
    <s v="Friday"/>
    <s v="May"/>
    <x v="232"/>
    <s v="CUST578"/>
    <x v="1"/>
    <x v="2"/>
    <n v="54"/>
    <x v="1"/>
    <n v="4"/>
    <n v="30"/>
    <n v="120"/>
    <n v="1.7999999999999998"/>
    <n v="2.4"/>
    <n v="1.7999999999999998"/>
  </r>
  <r>
    <n v="579"/>
    <x v="0"/>
    <n v="9"/>
    <n v="21"/>
    <s v="Thursday"/>
    <s v="September"/>
    <x v="172"/>
    <s v="CUST579"/>
    <x v="1"/>
    <x v="0"/>
    <n v="38"/>
    <x v="2"/>
    <n v="1"/>
    <n v="30"/>
    <n v="30"/>
    <n v="0.44999999999999996"/>
    <n v="0.6"/>
    <n v="0.44999999999999996"/>
  </r>
  <r>
    <n v="580"/>
    <x v="0"/>
    <n v="12"/>
    <n v="6"/>
    <s v="Wednesday"/>
    <s v="December"/>
    <x v="237"/>
    <s v="CUST580"/>
    <x v="1"/>
    <x v="0"/>
    <n v="31"/>
    <x v="1"/>
    <n v="3"/>
    <n v="500"/>
    <n v="1500"/>
    <n v="22.5"/>
    <n v="30"/>
    <n v="22.5"/>
  </r>
  <r>
    <n v="581"/>
    <x v="0"/>
    <n v="11"/>
    <n v="21"/>
    <s v="Tuesday"/>
    <s v="November"/>
    <x v="245"/>
    <s v="CUST581"/>
    <x v="1"/>
    <x v="0"/>
    <n v="48"/>
    <x v="0"/>
    <n v="2"/>
    <n v="30"/>
    <n v="60"/>
    <n v="0.89999999999999991"/>
    <n v="1.2"/>
    <n v="0.89999999999999991"/>
  </r>
  <r>
    <n v="582"/>
    <x v="0"/>
    <n v="11"/>
    <n v="14"/>
    <s v="Tuesday"/>
    <s v="November"/>
    <x v="220"/>
    <s v="CUST582"/>
    <x v="0"/>
    <x v="0"/>
    <n v="35"/>
    <x v="1"/>
    <n v="3"/>
    <n v="300"/>
    <n v="900"/>
    <n v="13.5"/>
    <n v="18"/>
    <n v="13.5"/>
  </r>
  <r>
    <n v="583"/>
    <x v="0"/>
    <n v="6"/>
    <n v="21"/>
    <s v="Wednesday"/>
    <s v="June"/>
    <x v="288"/>
    <s v="CUST583"/>
    <x v="1"/>
    <x v="1"/>
    <n v="24"/>
    <x v="2"/>
    <n v="4"/>
    <n v="25"/>
    <n v="100"/>
    <n v="1.5"/>
    <n v="2"/>
    <n v="1.5"/>
  </r>
  <r>
    <n v="584"/>
    <x v="0"/>
    <n v="2"/>
    <n v="17"/>
    <s v="Friday"/>
    <s v="February"/>
    <x v="15"/>
    <s v="CUST584"/>
    <x v="1"/>
    <x v="1"/>
    <n v="27"/>
    <x v="0"/>
    <n v="4"/>
    <n v="50"/>
    <n v="200"/>
    <n v="3"/>
    <n v="4"/>
    <n v="3"/>
  </r>
  <r>
    <n v="585"/>
    <x v="0"/>
    <n v="5"/>
    <n v="1"/>
    <s v="Monday"/>
    <s v="May"/>
    <x v="217"/>
    <s v="CUST585"/>
    <x v="1"/>
    <x v="1"/>
    <n v="24"/>
    <x v="1"/>
    <n v="1"/>
    <n v="25"/>
    <n v="25"/>
    <n v="0.375"/>
    <n v="0.5"/>
    <n v="0.375"/>
  </r>
  <r>
    <n v="586"/>
    <x v="0"/>
    <n v="12"/>
    <n v="11"/>
    <s v="Monday"/>
    <s v="December"/>
    <x v="186"/>
    <s v="CUST586"/>
    <x v="0"/>
    <x v="2"/>
    <n v="50"/>
    <x v="2"/>
    <n v="1"/>
    <n v="50"/>
    <n v="50"/>
    <n v="0.75"/>
    <n v="1"/>
    <n v="0.75"/>
  </r>
  <r>
    <n v="587"/>
    <x v="0"/>
    <n v="6"/>
    <n v="8"/>
    <s v="Thursday"/>
    <s v="June"/>
    <x v="276"/>
    <s v="CUST587"/>
    <x v="1"/>
    <x v="0"/>
    <n v="40"/>
    <x v="0"/>
    <n v="4"/>
    <n v="300"/>
    <n v="1200"/>
    <n v="18"/>
    <n v="24"/>
    <n v="18"/>
  </r>
  <r>
    <n v="588"/>
    <x v="0"/>
    <n v="4"/>
    <n v="26"/>
    <s v="Wednesday"/>
    <s v="April"/>
    <x v="164"/>
    <s v="CUST588"/>
    <x v="0"/>
    <x v="0"/>
    <n v="38"/>
    <x v="2"/>
    <n v="2"/>
    <n v="30"/>
    <n v="60"/>
    <n v="0.89999999999999991"/>
    <n v="1.2"/>
    <n v="0.89999999999999991"/>
  </r>
  <r>
    <n v="589"/>
    <x v="0"/>
    <n v="4"/>
    <n v="12"/>
    <s v="Wednesday"/>
    <s v="April"/>
    <x v="22"/>
    <s v="CUST589"/>
    <x v="1"/>
    <x v="0"/>
    <n v="36"/>
    <x v="0"/>
    <n v="2"/>
    <n v="500"/>
    <n v="1000"/>
    <n v="15"/>
    <n v="20"/>
    <n v="15"/>
  </r>
  <r>
    <n v="590"/>
    <x v="0"/>
    <n v="3"/>
    <n v="17"/>
    <s v="Friday"/>
    <s v="March"/>
    <x v="255"/>
    <s v="CUST590"/>
    <x v="0"/>
    <x v="0"/>
    <n v="36"/>
    <x v="1"/>
    <n v="3"/>
    <n v="300"/>
    <n v="900"/>
    <n v="13.5"/>
    <n v="18"/>
    <n v="13.5"/>
  </r>
  <r>
    <n v="591"/>
    <x v="0"/>
    <n v="1"/>
    <n v="13"/>
    <s v="Friday"/>
    <s v="January"/>
    <x v="2"/>
    <s v="CUST591"/>
    <x v="0"/>
    <x v="2"/>
    <n v="53"/>
    <x v="2"/>
    <n v="4"/>
    <n v="25"/>
    <n v="100"/>
    <n v="1.5"/>
    <n v="2"/>
    <n v="1.5"/>
  </r>
  <r>
    <n v="592"/>
    <x v="0"/>
    <n v="1"/>
    <n v="24"/>
    <s v="Tuesday"/>
    <s v="January"/>
    <x v="58"/>
    <s v="CUST592"/>
    <x v="1"/>
    <x v="0"/>
    <n v="46"/>
    <x v="0"/>
    <n v="4"/>
    <n v="500"/>
    <n v="2000"/>
    <n v="30"/>
    <n v="40"/>
    <n v="30"/>
  </r>
  <r>
    <n v="593"/>
    <x v="0"/>
    <n v="5"/>
    <n v="6"/>
    <s v="Saturday"/>
    <s v="May"/>
    <x v="4"/>
    <s v="CUST593"/>
    <x v="0"/>
    <x v="0"/>
    <n v="35"/>
    <x v="2"/>
    <n v="2"/>
    <n v="30"/>
    <n v="60"/>
    <n v="0.89999999999999991"/>
    <n v="1.2"/>
    <n v="0.89999999999999991"/>
  </r>
  <r>
    <n v="594"/>
    <x v="0"/>
    <n v="9"/>
    <n v="1"/>
    <s v="Friday"/>
    <s v="September"/>
    <x v="152"/>
    <s v="CUST594"/>
    <x v="1"/>
    <x v="1"/>
    <n v="19"/>
    <x v="2"/>
    <n v="2"/>
    <n v="300"/>
    <n v="600"/>
    <n v="9"/>
    <n v="12"/>
    <n v="9"/>
  </r>
  <r>
    <n v="595"/>
    <x v="0"/>
    <n v="11"/>
    <n v="9"/>
    <s v="Thursday"/>
    <s v="November"/>
    <x v="289"/>
    <s v="CUST595"/>
    <x v="1"/>
    <x v="1"/>
    <n v="18"/>
    <x v="1"/>
    <n v="4"/>
    <n v="500"/>
    <n v="2000"/>
    <n v="30"/>
    <n v="40"/>
    <n v="30"/>
  </r>
  <r>
    <n v="596"/>
    <x v="0"/>
    <n v="2"/>
    <n v="7"/>
    <s v="Tuesday"/>
    <s v="February"/>
    <x v="227"/>
    <s v="CUST596"/>
    <x v="1"/>
    <x v="2"/>
    <n v="64"/>
    <x v="2"/>
    <n v="1"/>
    <n v="300"/>
    <n v="300"/>
    <n v="4.5"/>
    <n v="6"/>
    <n v="4.5"/>
  </r>
  <r>
    <n v="597"/>
    <x v="0"/>
    <n v="8"/>
    <n v="22"/>
    <s v="Tuesday"/>
    <s v="August"/>
    <x v="290"/>
    <s v="CUST597"/>
    <x v="0"/>
    <x v="1"/>
    <n v="22"/>
    <x v="0"/>
    <n v="4"/>
    <n v="300"/>
    <n v="1200"/>
    <n v="18"/>
    <n v="24"/>
    <n v="18"/>
  </r>
  <r>
    <n v="598"/>
    <x v="0"/>
    <n v="8"/>
    <n v="1"/>
    <s v="Tuesday"/>
    <s v="August"/>
    <x v="291"/>
    <s v="CUST598"/>
    <x v="0"/>
    <x v="0"/>
    <n v="37"/>
    <x v="0"/>
    <n v="4"/>
    <n v="30"/>
    <n v="120"/>
    <n v="1.7999999999999998"/>
    <n v="2.4"/>
    <n v="1.7999999999999998"/>
  </r>
  <r>
    <n v="599"/>
    <x v="0"/>
    <n v="11"/>
    <n v="19"/>
    <s v="Sunday"/>
    <s v="November"/>
    <x v="292"/>
    <s v="CUST599"/>
    <x v="1"/>
    <x v="1"/>
    <n v="28"/>
    <x v="0"/>
    <n v="2"/>
    <n v="50"/>
    <n v="100"/>
    <n v="1.5"/>
    <n v="2"/>
    <n v="1.5"/>
  </r>
  <r>
    <n v="600"/>
    <x v="0"/>
    <n v="10"/>
    <n v="22"/>
    <s v="Sunday"/>
    <s v="October"/>
    <x v="293"/>
    <s v="CUST600"/>
    <x v="1"/>
    <x v="2"/>
    <n v="59"/>
    <x v="0"/>
    <n v="2"/>
    <n v="500"/>
    <n v="1000"/>
    <n v="15"/>
    <n v="20"/>
    <n v="15"/>
  </r>
  <r>
    <n v="601"/>
    <x v="0"/>
    <n v="4"/>
    <n v="10"/>
    <s v="Monday"/>
    <s v="April"/>
    <x v="294"/>
    <s v="CUST601"/>
    <x v="0"/>
    <x v="1"/>
    <n v="19"/>
    <x v="1"/>
    <n v="1"/>
    <n v="30"/>
    <n v="30"/>
    <n v="0.44999999999999996"/>
    <n v="0.6"/>
    <n v="0.44999999999999996"/>
  </r>
  <r>
    <n v="602"/>
    <x v="0"/>
    <n v="12"/>
    <n v="23"/>
    <s v="Saturday"/>
    <s v="December"/>
    <x v="204"/>
    <s v="CUST602"/>
    <x v="1"/>
    <x v="1"/>
    <n v="20"/>
    <x v="2"/>
    <n v="1"/>
    <n v="300"/>
    <n v="300"/>
    <n v="4.5"/>
    <n v="6"/>
    <n v="4.5"/>
  </r>
  <r>
    <n v="603"/>
    <x v="0"/>
    <n v="7"/>
    <n v="16"/>
    <s v="Sunday"/>
    <s v="July"/>
    <x v="295"/>
    <s v="CUST603"/>
    <x v="1"/>
    <x v="0"/>
    <n v="40"/>
    <x v="1"/>
    <n v="3"/>
    <n v="30"/>
    <n v="90"/>
    <n v="1.3499999999999999"/>
    <n v="1.8"/>
    <n v="1.3499999999999999"/>
  </r>
  <r>
    <n v="604"/>
    <x v="0"/>
    <n v="9"/>
    <n v="11"/>
    <s v="Monday"/>
    <s v="September"/>
    <x v="296"/>
    <s v="CUST604"/>
    <x v="1"/>
    <x v="1"/>
    <n v="29"/>
    <x v="2"/>
    <n v="4"/>
    <n v="50"/>
    <n v="200"/>
    <n v="3"/>
    <n v="4"/>
    <n v="3"/>
  </r>
  <r>
    <n v="605"/>
    <x v="0"/>
    <n v="7"/>
    <n v="24"/>
    <s v="Monday"/>
    <s v="July"/>
    <x v="104"/>
    <s v="CUST605"/>
    <x v="0"/>
    <x v="0"/>
    <n v="37"/>
    <x v="2"/>
    <n v="2"/>
    <n v="500"/>
    <n v="1000"/>
    <n v="15"/>
    <n v="20"/>
    <n v="15"/>
  </r>
  <r>
    <n v="606"/>
    <x v="0"/>
    <n v="5"/>
    <n v="5"/>
    <s v="Friday"/>
    <s v="May"/>
    <x v="179"/>
    <s v="CUST606"/>
    <x v="0"/>
    <x v="1"/>
    <n v="22"/>
    <x v="2"/>
    <n v="1"/>
    <n v="50"/>
    <n v="50"/>
    <n v="0.75"/>
    <n v="1"/>
    <n v="0.75"/>
  </r>
  <r>
    <n v="607"/>
    <x v="0"/>
    <n v="3"/>
    <n v="17"/>
    <s v="Friday"/>
    <s v="March"/>
    <x v="255"/>
    <s v="CUST607"/>
    <x v="0"/>
    <x v="2"/>
    <n v="54"/>
    <x v="1"/>
    <n v="3"/>
    <n v="25"/>
    <n v="75"/>
    <n v="1.125"/>
    <n v="1.5"/>
    <n v="1.125"/>
  </r>
  <r>
    <n v="608"/>
    <x v="0"/>
    <n v="12"/>
    <n v="2"/>
    <s v="Saturday"/>
    <s v="December"/>
    <x v="92"/>
    <s v="CUST608"/>
    <x v="1"/>
    <x v="2"/>
    <n v="55"/>
    <x v="2"/>
    <n v="3"/>
    <n v="500"/>
    <n v="1500"/>
    <n v="22.5"/>
    <n v="30"/>
    <n v="22.5"/>
  </r>
  <r>
    <n v="609"/>
    <x v="0"/>
    <n v="12"/>
    <n v="19"/>
    <s v="Tuesday"/>
    <s v="December"/>
    <x v="80"/>
    <s v="CUST609"/>
    <x v="1"/>
    <x v="0"/>
    <n v="47"/>
    <x v="1"/>
    <n v="2"/>
    <n v="50"/>
    <n v="100"/>
    <n v="1.5"/>
    <n v="2"/>
    <n v="1.5"/>
  </r>
  <r>
    <n v="610"/>
    <x v="0"/>
    <n v="1"/>
    <n v="3"/>
    <s v="Tuesday"/>
    <s v="January"/>
    <x v="297"/>
    <s v="CUST610"/>
    <x v="1"/>
    <x v="1"/>
    <n v="26"/>
    <x v="0"/>
    <n v="2"/>
    <n v="300"/>
    <n v="600"/>
    <n v="9"/>
    <n v="12"/>
    <n v="9"/>
  </r>
  <r>
    <n v="611"/>
    <x v="0"/>
    <n v="2"/>
    <n v="24"/>
    <s v="Friday"/>
    <s v="February"/>
    <x v="130"/>
    <s v="CUST611"/>
    <x v="0"/>
    <x v="2"/>
    <n v="51"/>
    <x v="0"/>
    <n v="3"/>
    <n v="500"/>
    <n v="1500"/>
    <n v="22.5"/>
    <n v="30"/>
    <n v="22.5"/>
  </r>
  <r>
    <n v="612"/>
    <x v="0"/>
    <n v="8"/>
    <n v="6"/>
    <s v="Sunday"/>
    <s v="August"/>
    <x v="298"/>
    <s v="CUST612"/>
    <x v="1"/>
    <x v="2"/>
    <n v="61"/>
    <x v="2"/>
    <n v="1"/>
    <n v="500"/>
    <n v="500"/>
    <n v="7.5"/>
    <n v="10"/>
    <n v="7.5"/>
  </r>
  <r>
    <n v="613"/>
    <x v="0"/>
    <n v="4"/>
    <n v="23"/>
    <s v="Sunday"/>
    <s v="April"/>
    <x v="26"/>
    <s v="CUST613"/>
    <x v="1"/>
    <x v="2"/>
    <n v="52"/>
    <x v="1"/>
    <n v="3"/>
    <n v="30"/>
    <n v="90"/>
    <n v="1.3499999999999999"/>
    <n v="1.8"/>
    <n v="1.3499999999999999"/>
  </r>
  <r>
    <n v="614"/>
    <x v="0"/>
    <n v="4"/>
    <n v="1"/>
    <s v="Saturday"/>
    <s v="April"/>
    <x v="258"/>
    <s v="CUST614"/>
    <x v="1"/>
    <x v="0"/>
    <n v="39"/>
    <x v="0"/>
    <n v="4"/>
    <n v="300"/>
    <n v="1200"/>
    <n v="18"/>
    <n v="24"/>
    <n v="18"/>
  </r>
  <r>
    <n v="615"/>
    <x v="0"/>
    <n v="12"/>
    <n v="23"/>
    <s v="Saturday"/>
    <s v="December"/>
    <x v="204"/>
    <s v="CUST615"/>
    <x v="1"/>
    <x v="2"/>
    <n v="61"/>
    <x v="1"/>
    <n v="4"/>
    <n v="25"/>
    <n v="100"/>
    <n v="1.5"/>
    <n v="2"/>
    <n v="1.5"/>
  </r>
  <r>
    <n v="616"/>
    <x v="0"/>
    <n v="9"/>
    <n v="23"/>
    <s v="Saturday"/>
    <s v="September"/>
    <x v="299"/>
    <s v="CUST616"/>
    <x v="0"/>
    <x v="0"/>
    <n v="41"/>
    <x v="1"/>
    <n v="2"/>
    <n v="50"/>
    <n v="100"/>
    <n v="1.5"/>
    <n v="2"/>
    <n v="1.5"/>
  </r>
  <r>
    <n v="617"/>
    <x v="0"/>
    <n v="8"/>
    <n v="26"/>
    <s v="Saturday"/>
    <s v="August"/>
    <x v="300"/>
    <s v="CUST617"/>
    <x v="0"/>
    <x v="0"/>
    <n v="34"/>
    <x v="2"/>
    <n v="1"/>
    <n v="30"/>
    <n v="30"/>
    <n v="0.44999999999999996"/>
    <n v="0.6"/>
    <n v="0.44999999999999996"/>
  </r>
  <r>
    <n v="618"/>
    <x v="0"/>
    <n v="1"/>
    <n v="26"/>
    <s v="Thursday"/>
    <s v="January"/>
    <x v="197"/>
    <s v="CUST618"/>
    <x v="1"/>
    <x v="1"/>
    <n v="27"/>
    <x v="0"/>
    <n v="1"/>
    <n v="50"/>
    <n v="50"/>
    <n v="0.75"/>
    <n v="1"/>
    <n v="0.75"/>
  </r>
  <r>
    <n v="619"/>
    <x v="0"/>
    <n v="10"/>
    <n v="13"/>
    <s v="Friday"/>
    <s v="October"/>
    <x v="81"/>
    <s v="CUST619"/>
    <x v="0"/>
    <x v="0"/>
    <n v="47"/>
    <x v="2"/>
    <n v="4"/>
    <n v="25"/>
    <n v="100"/>
    <n v="1.5"/>
    <n v="2"/>
    <n v="1.5"/>
  </r>
  <r>
    <n v="620"/>
    <x v="0"/>
    <n v="5"/>
    <n v="8"/>
    <s v="Monday"/>
    <s v="May"/>
    <x v="193"/>
    <s v="CUST620"/>
    <x v="0"/>
    <x v="2"/>
    <n v="63"/>
    <x v="2"/>
    <n v="3"/>
    <n v="25"/>
    <n v="75"/>
    <n v="1.125"/>
    <n v="1.5"/>
    <n v="1.125"/>
  </r>
  <r>
    <n v="621"/>
    <x v="0"/>
    <n v="3"/>
    <n v="4"/>
    <s v="Saturday"/>
    <s v="March"/>
    <x v="301"/>
    <s v="CUST621"/>
    <x v="1"/>
    <x v="0"/>
    <n v="40"/>
    <x v="0"/>
    <n v="2"/>
    <n v="500"/>
    <n v="1000"/>
    <n v="15"/>
    <n v="20"/>
    <n v="15"/>
  </r>
  <r>
    <n v="622"/>
    <x v="0"/>
    <n v="8"/>
    <n v="22"/>
    <s v="Tuesday"/>
    <s v="August"/>
    <x v="290"/>
    <s v="CUST622"/>
    <x v="1"/>
    <x v="0"/>
    <n v="49"/>
    <x v="0"/>
    <n v="3"/>
    <n v="25"/>
    <n v="75"/>
    <n v="1.125"/>
    <n v="1.5"/>
    <n v="1.125"/>
  </r>
  <r>
    <n v="623"/>
    <x v="0"/>
    <n v="3"/>
    <n v="10"/>
    <s v="Friday"/>
    <s v="March"/>
    <x v="239"/>
    <s v="CUST623"/>
    <x v="0"/>
    <x v="0"/>
    <n v="34"/>
    <x v="1"/>
    <n v="3"/>
    <n v="50"/>
    <n v="150"/>
    <n v="2.25"/>
    <n v="3"/>
    <n v="2.25"/>
  </r>
  <r>
    <n v="624"/>
    <x v="0"/>
    <n v="8"/>
    <n v="26"/>
    <s v="Saturday"/>
    <s v="August"/>
    <x v="300"/>
    <s v="CUST624"/>
    <x v="1"/>
    <x v="0"/>
    <n v="34"/>
    <x v="0"/>
    <n v="3"/>
    <n v="300"/>
    <n v="900"/>
    <n v="13.5"/>
    <n v="18"/>
    <n v="13.5"/>
  </r>
  <r>
    <n v="625"/>
    <x v="0"/>
    <n v="12"/>
    <n v="8"/>
    <s v="Friday"/>
    <s v="December"/>
    <x v="236"/>
    <s v="CUST625"/>
    <x v="0"/>
    <x v="0"/>
    <n v="31"/>
    <x v="1"/>
    <n v="1"/>
    <n v="300"/>
    <n v="300"/>
    <n v="4.5"/>
    <n v="6"/>
    <n v="4.5"/>
  </r>
  <r>
    <n v="626"/>
    <x v="0"/>
    <n v="9"/>
    <n v="29"/>
    <s v="Friday"/>
    <s v="September"/>
    <x v="136"/>
    <s v="CUST626"/>
    <x v="1"/>
    <x v="1"/>
    <n v="26"/>
    <x v="1"/>
    <n v="4"/>
    <n v="500"/>
    <n v="2000"/>
    <n v="30"/>
    <n v="40"/>
    <n v="30"/>
  </r>
  <r>
    <n v="627"/>
    <x v="0"/>
    <n v="10"/>
    <n v="14"/>
    <s v="Saturday"/>
    <s v="October"/>
    <x v="257"/>
    <s v="CUST627"/>
    <x v="0"/>
    <x v="2"/>
    <n v="57"/>
    <x v="1"/>
    <n v="1"/>
    <n v="50"/>
    <n v="50"/>
    <n v="0.75"/>
    <n v="1"/>
    <n v="0.75"/>
  </r>
  <r>
    <n v="628"/>
    <x v="0"/>
    <n v="11"/>
    <n v="1"/>
    <s v="Wednesday"/>
    <s v="November"/>
    <x v="215"/>
    <s v="CUST628"/>
    <x v="1"/>
    <x v="1"/>
    <n v="19"/>
    <x v="0"/>
    <n v="4"/>
    <n v="50"/>
    <n v="200"/>
    <n v="3"/>
    <n v="4"/>
    <n v="3"/>
  </r>
  <r>
    <n v="629"/>
    <x v="0"/>
    <n v="6"/>
    <n v="12"/>
    <s v="Monday"/>
    <s v="June"/>
    <x v="302"/>
    <s v="CUST629"/>
    <x v="0"/>
    <x v="2"/>
    <n v="62"/>
    <x v="2"/>
    <n v="2"/>
    <n v="25"/>
    <n v="50"/>
    <n v="0.75"/>
    <n v="1"/>
    <n v="0.75"/>
  </r>
  <r>
    <n v="630"/>
    <x v="0"/>
    <n v="8"/>
    <n v="15"/>
    <s v="Tuesday"/>
    <s v="August"/>
    <x v="196"/>
    <s v="CUST630"/>
    <x v="0"/>
    <x v="0"/>
    <n v="42"/>
    <x v="1"/>
    <n v="2"/>
    <n v="50"/>
    <n v="100"/>
    <n v="1.5"/>
    <n v="2"/>
    <n v="1.5"/>
  </r>
  <r>
    <n v="631"/>
    <x v="0"/>
    <n v="11"/>
    <n v="10"/>
    <s v="Friday"/>
    <s v="November"/>
    <x v="235"/>
    <s v="CUST631"/>
    <x v="0"/>
    <x v="2"/>
    <n v="56"/>
    <x v="2"/>
    <n v="3"/>
    <n v="30"/>
    <n v="90"/>
    <n v="1.3499999999999999"/>
    <n v="1.8"/>
    <n v="1.3499999999999999"/>
  </r>
  <r>
    <n v="632"/>
    <x v="0"/>
    <n v="9"/>
    <n v="16"/>
    <s v="Saturday"/>
    <s v="September"/>
    <x v="18"/>
    <s v="CUST632"/>
    <x v="1"/>
    <x v="1"/>
    <n v="26"/>
    <x v="2"/>
    <n v="4"/>
    <n v="25"/>
    <n v="100"/>
    <n v="1.5"/>
    <n v="2"/>
    <n v="1.5"/>
  </r>
  <r>
    <n v="633"/>
    <x v="0"/>
    <n v="8"/>
    <n v="7"/>
    <s v="Monday"/>
    <s v="August"/>
    <x v="252"/>
    <s v="CUST633"/>
    <x v="0"/>
    <x v="0"/>
    <n v="39"/>
    <x v="0"/>
    <n v="4"/>
    <n v="30"/>
    <n v="120"/>
    <n v="1.7999999999999998"/>
    <n v="2.4"/>
    <n v="1.7999999999999998"/>
  </r>
  <r>
    <n v="634"/>
    <x v="0"/>
    <n v="10"/>
    <n v="8"/>
    <s v="Sunday"/>
    <s v="October"/>
    <x v="283"/>
    <s v="CUST634"/>
    <x v="0"/>
    <x v="2"/>
    <n v="60"/>
    <x v="2"/>
    <n v="4"/>
    <n v="500"/>
    <n v="2000"/>
    <n v="30"/>
    <n v="40"/>
    <n v="30"/>
  </r>
  <r>
    <n v="635"/>
    <x v="0"/>
    <n v="8"/>
    <n v="17"/>
    <s v="Thursday"/>
    <s v="August"/>
    <x v="303"/>
    <s v="CUST635"/>
    <x v="1"/>
    <x v="2"/>
    <n v="63"/>
    <x v="2"/>
    <n v="3"/>
    <n v="300"/>
    <n v="900"/>
    <n v="13.5"/>
    <n v="18"/>
    <n v="13.5"/>
  </r>
  <r>
    <n v="636"/>
    <x v="0"/>
    <n v="3"/>
    <n v="23"/>
    <s v="Thursday"/>
    <s v="March"/>
    <x v="31"/>
    <s v="CUST636"/>
    <x v="1"/>
    <x v="1"/>
    <n v="21"/>
    <x v="0"/>
    <n v="3"/>
    <n v="500"/>
    <n v="1500"/>
    <n v="22.5"/>
    <n v="30"/>
    <n v="22.5"/>
  </r>
  <r>
    <n v="637"/>
    <x v="0"/>
    <n v="9"/>
    <n v="1"/>
    <s v="Friday"/>
    <s v="September"/>
    <x v="152"/>
    <s v="CUST637"/>
    <x v="0"/>
    <x v="0"/>
    <n v="43"/>
    <x v="1"/>
    <n v="2"/>
    <n v="300"/>
    <n v="600"/>
    <n v="9"/>
    <n v="12"/>
    <n v="9"/>
  </r>
  <r>
    <n v="638"/>
    <x v="0"/>
    <n v="8"/>
    <n v="19"/>
    <s v="Saturday"/>
    <s v="August"/>
    <x v="304"/>
    <s v="CUST638"/>
    <x v="0"/>
    <x v="0"/>
    <n v="46"/>
    <x v="2"/>
    <n v="1"/>
    <n v="500"/>
    <n v="500"/>
    <n v="7.5"/>
    <n v="10"/>
    <n v="7.5"/>
  </r>
  <r>
    <n v="639"/>
    <x v="0"/>
    <n v="5"/>
    <n v="13"/>
    <s v="Saturday"/>
    <s v="May"/>
    <x v="305"/>
    <s v="CUST639"/>
    <x v="1"/>
    <x v="2"/>
    <n v="62"/>
    <x v="0"/>
    <n v="4"/>
    <n v="50"/>
    <n v="200"/>
    <n v="3"/>
    <n v="4"/>
    <n v="3"/>
  </r>
  <r>
    <n v="640"/>
    <x v="0"/>
    <n v="5"/>
    <n v="7"/>
    <s v="Sunday"/>
    <s v="May"/>
    <x v="98"/>
    <s v="CUST640"/>
    <x v="1"/>
    <x v="2"/>
    <n v="51"/>
    <x v="2"/>
    <n v="4"/>
    <n v="30"/>
    <n v="120"/>
    <n v="1.7999999999999998"/>
    <n v="2.4"/>
    <n v="1.7999999999999998"/>
  </r>
  <r>
    <n v="641"/>
    <x v="0"/>
    <n v="11"/>
    <n v="23"/>
    <s v="Thursday"/>
    <s v="November"/>
    <x v="250"/>
    <s v="CUST641"/>
    <x v="1"/>
    <x v="0"/>
    <n v="40"/>
    <x v="2"/>
    <n v="1"/>
    <n v="300"/>
    <n v="300"/>
    <n v="4.5"/>
    <n v="6"/>
    <n v="4.5"/>
  </r>
  <r>
    <n v="642"/>
    <x v="0"/>
    <n v="5"/>
    <n v="22"/>
    <s v="Monday"/>
    <s v="May"/>
    <x v="247"/>
    <s v="CUST642"/>
    <x v="1"/>
    <x v="2"/>
    <n v="54"/>
    <x v="1"/>
    <n v="4"/>
    <n v="25"/>
    <n v="100"/>
    <n v="1.5"/>
    <n v="2"/>
    <n v="1.5"/>
  </r>
  <r>
    <n v="643"/>
    <x v="0"/>
    <n v="9"/>
    <n v="24"/>
    <s v="Sunday"/>
    <s v="September"/>
    <x v="272"/>
    <s v="CUST643"/>
    <x v="1"/>
    <x v="1"/>
    <n v="28"/>
    <x v="2"/>
    <n v="3"/>
    <n v="30"/>
    <n v="90"/>
    <n v="1.3499999999999999"/>
    <n v="1.8"/>
    <n v="1.3499999999999999"/>
  </r>
  <r>
    <n v="644"/>
    <x v="0"/>
    <n v="9"/>
    <n v="6"/>
    <s v="Wednesday"/>
    <s v="September"/>
    <x v="147"/>
    <s v="CUST644"/>
    <x v="0"/>
    <x v="1"/>
    <n v="23"/>
    <x v="0"/>
    <n v="3"/>
    <n v="25"/>
    <n v="75"/>
    <n v="1.125"/>
    <n v="1.5"/>
    <n v="1.125"/>
  </r>
  <r>
    <n v="645"/>
    <x v="0"/>
    <n v="11"/>
    <n v="17"/>
    <s v="Friday"/>
    <s v="November"/>
    <x v="131"/>
    <s v="CUST645"/>
    <x v="1"/>
    <x v="0"/>
    <n v="35"/>
    <x v="2"/>
    <n v="4"/>
    <n v="30"/>
    <n v="120"/>
    <n v="1.7999999999999998"/>
    <n v="2.4"/>
    <n v="1.7999999999999998"/>
  </r>
  <r>
    <n v="646"/>
    <x v="0"/>
    <n v="5"/>
    <n v="3"/>
    <s v="Wednesday"/>
    <s v="May"/>
    <x v="143"/>
    <s v="CUST646"/>
    <x v="0"/>
    <x v="0"/>
    <n v="38"/>
    <x v="1"/>
    <n v="3"/>
    <n v="30"/>
    <n v="90"/>
    <n v="1.3499999999999999"/>
    <n v="1.8"/>
    <n v="1.3499999999999999"/>
  </r>
  <r>
    <n v="647"/>
    <x v="0"/>
    <n v="5"/>
    <n v="21"/>
    <s v="Sunday"/>
    <s v="May"/>
    <x v="3"/>
    <s v="CUST647"/>
    <x v="0"/>
    <x v="2"/>
    <n v="59"/>
    <x v="1"/>
    <n v="3"/>
    <n v="500"/>
    <n v="1500"/>
    <n v="22.5"/>
    <n v="30"/>
    <n v="22.5"/>
  </r>
  <r>
    <n v="648"/>
    <x v="0"/>
    <n v="8"/>
    <n v="14"/>
    <s v="Monday"/>
    <s v="August"/>
    <x v="306"/>
    <s v="CUST648"/>
    <x v="0"/>
    <x v="2"/>
    <n v="53"/>
    <x v="0"/>
    <n v="4"/>
    <n v="300"/>
    <n v="1200"/>
    <n v="18"/>
    <n v="24"/>
    <n v="18"/>
  </r>
  <r>
    <n v="649"/>
    <x v="0"/>
    <n v="2"/>
    <n v="9"/>
    <s v="Thursday"/>
    <s v="February"/>
    <x v="307"/>
    <s v="CUST649"/>
    <x v="1"/>
    <x v="2"/>
    <n v="58"/>
    <x v="1"/>
    <n v="2"/>
    <n v="300"/>
    <n v="600"/>
    <n v="9"/>
    <n v="12"/>
    <n v="9"/>
  </r>
  <r>
    <n v="650"/>
    <x v="1"/>
    <n v="1"/>
    <n v="1"/>
    <s v="Monday"/>
    <s v="January"/>
    <x v="158"/>
    <s v="CUST650"/>
    <x v="0"/>
    <x v="2"/>
    <n v="55"/>
    <x v="2"/>
    <n v="1"/>
    <n v="30"/>
    <n v="30"/>
    <n v="0.44999999999999996"/>
    <n v="0.6"/>
    <n v="0.6"/>
  </r>
  <r>
    <n v="651"/>
    <x v="0"/>
    <n v="5"/>
    <n v="27"/>
    <s v="Saturday"/>
    <s v="May"/>
    <x v="203"/>
    <s v="CUST651"/>
    <x v="0"/>
    <x v="2"/>
    <n v="51"/>
    <x v="1"/>
    <n v="3"/>
    <n v="50"/>
    <n v="150"/>
    <n v="2.25"/>
    <n v="3"/>
    <n v="2.25"/>
  </r>
  <r>
    <n v="652"/>
    <x v="0"/>
    <n v="5"/>
    <n v="1"/>
    <s v="Monday"/>
    <s v="May"/>
    <x v="217"/>
    <s v="CUST652"/>
    <x v="1"/>
    <x v="0"/>
    <n v="34"/>
    <x v="0"/>
    <n v="2"/>
    <n v="50"/>
    <n v="100"/>
    <n v="1.5"/>
    <n v="2"/>
    <n v="1.5"/>
  </r>
  <r>
    <n v="653"/>
    <x v="0"/>
    <n v="5"/>
    <n v="20"/>
    <s v="Saturday"/>
    <s v="May"/>
    <x v="241"/>
    <s v="CUST653"/>
    <x v="0"/>
    <x v="2"/>
    <n v="54"/>
    <x v="1"/>
    <n v="3"/>
    <n v="25"/>
    <n v="75"/>
    <n v="1.125"/>
    <n v="1.5"/>
    <n v="1.125"/>
  </r>
  <r>
    <n v="654"/>
    <x v="0"/>
    <n v="6"/>
    <n v="21"/>
    <s v="Wednesday"/>
    <s v="June"/>
    <x v="288"/>
    <s v="CUST654"/>
    <x v="0"/>
    <x v="0"/>
    <n v="42"/>
    <x v="1"/>
    <n v="3"/>
    <n v="25"/>
    <n v="75"/>
    <n v="1.125"/>
    <n v="1.5"/>
    <n v="1.125"/>
  </r>
  <r>
    <n v="655"/>
    <x v="0"/>
    <n v="6"/>
    <n v="13"/>
    <s v="Tuesday"/>
    <s v="June"/>
    <x v="308"/>
    <s v="CUST655"/>
    <x v="1"/>
    <x v="2"/>
    <n v="55"/>
    <x v="1"/>
    <n v="1"/>
    <n v="500"/>
    <n v="500"/>
    <n v="7.5"/>
    <n v="10"/>
    <n v="7.5"/>
  </r>
  <r>
    <n v="656"/>
    <x v="0"/>
    <n v="10"/>
    <n v="4"/>
    <s v="Wednesday"/>
    <s v="October"/>
    <x v="135"/>
    <s v="CUST656"/>
    <x v="0"/>
    <x v="1"/>
    <n v="29"/>
    <x v="0"/>
    <n v="3"/>
    <n v="30"/>
    <n v="90"/>
    <n v="1.3499999999999999"/>
    <n v="1.8"/>
    <n v="1.3499999999999999"/>
  </r>
  <r>
    <n v="657"/>
    <x v="0"/>
    <n v="2"/>
    <n v="11"/>
    <s v="Saturday"/>
    <s v="February"/>
    <x v="213"/>
    <s v="CUST657"/>
    <x v="0"/>
    <x v="0"/>
    <n v="40"/>
    <x v="1"/>
    <n v="1"/>
    <n v="25"/>
    <n v="25"/>
    <n v="0.375"/>
    <n v="0.5"/>
    <n v="0.375"/>
  </r>
  <r>
    <n v="658"/>
    <x v="0"/>
    <n v="3"/>
    <n v="12"/>
    <s v="Sunday"/>
    <s v="March"/>
    <x v="105"/>
    <s v="CUST658"/>
    <x v="0"/>
    <x v="2"/>
    <n v="59"/>
    <x v="1"/>
    <n v="1"/>
    <n v="25"/>
    <n v="25"/>
    <n v="0.375"/>
    <n v="0.5"/>
    <n v="0.375"/>
  </r>
  <r>
    <n v="659"/>
    <x v="0"/>
    <n v="3"/>
    <n v="19"/>
    <s v="Sunday"/>
    <s v="March"/>
    <x v="309"/>
    <s v="CUST659"/>
    <x v="1"/>
    <x v="0"/>
    <n v="39"/>
    <x v="2"/>
    <n v="1"/>
    <n v="30"/>
    <n v="30"/>
    <n v="0.44999999999999996"/>
    <n v="0.6"/>
    <n v="0.44999999999999996"/>
  </r>
  <r>
    <n v="660"/>
    <x v="0"/>
    <n v="4"/>
    <n v="29"/>
    <s v="Saturday"/>
    <s v="April"/>
    <x v="310"/>
    <s v="CUST660"/>
    <x v="1"/>
    <x v="0"/>
    <n v="38"/>
    <x v="0"/>
    <n v="2"/>
    <n v="500"/>
    <n v="1000"/>
    <n v="15"/>
    <n v="20"/>
    <n v="15"/>
  </r>
  <r>
    <n v="661"/>
    <x v="0"/>
    <n v="7"/>
    <n v="16"/>
    <s v="Sunday"/>
    <s v="July"/>
    <x v="295"/>
    <s v="CUST661"/>
    <x v="1"/>
    <x v="0"/>
    <n v="44"/>
    <x v="1"/>
    <n v="4"/>
    <n v="25"/>
    <n v="100"/>
    <n v="1.5"/>
    <n v="2"/>
    <n v="1.5"/>
  </r>
  <r>
    <n v="662"/>
    <x v="0"/>
    <n v="12"/>
    <n v="22"/>
    <s v="Friday"/>
    <s v="December"/>
    <x v="311"/>
    <s v="CUST662"/>
    <x v="0"/>
    <x v="0"/>
    <n v="48"/>
    <x v="0"/>
    <n v="2"/>
    <n v="500"/>
    <n v="1000"/>
    <n v="15"/>
    <n v="20"/>
    <n v="15"/>
  </r>
  <r>
    <n v="663"/>
    <x v="0"/>
    <n v="3"/>
    <n v="20"/>
    <s v="Monday"/>
    <s v="March"/>
    <x v="111"/>
    <s v="CUST663"/>
    <x v="0"/>
    <x v="1"/>
    <n v="23"/>
    <x v="1"/>
    <n v="4"/>
    <n v="300"/>
    <n v="1200"/>
    <n v="18"/>
    <n v="24"/>
    <n v="18"/>
  </r>
  <r>
    <n v="664"/>
    <x v="0"/>
    <n v="12"/>
    <n v="28"/>
    <s v="Thursday"/>
    <s v="December"/>
    <x v="251"/>
    <s v="CUST664"/>
    <x v="1"/>
    <x v="0"/>
    <n v="44"/>
    <x v="1"/>
    <n v="4"/>
    <n v="500"/>
    <n v="2000"/>
    <n v="30"/>
    <n v="40"/>
    <n v="30"/>
  </r>
  <r>
    <n v="665"/>
    <x v="0"/>
    <n v="4"/>
    <n v="20"/>
    <s v="Thursday"/>
    <s v="April"/>
    <x v="175"/>
    <s v="CUST665"/>
    <x v="0"/>
    <x v="2"/>
    <n v="57"/>
    <x v="1"/>
    <n v="1"/>
    <n v="50"/>
    <n v="50"/>
    <n v="0.75"/>
    <n v="1"/>
    <n v="0.75"/>
  </r>
  <r>
    <n v="666"/>
    <x v="0"/>
    <n v="2"/>
    <n v="2"/>
    <s v="Thursday"/>
    <s v="February"/>
    <x v="114"/>
    <s v="CUST666"/>
    <x v="0"/>
    <x v="2"/>
    <n v="51"/>
    <x v="2"/>
    <n v="3"/>
    <n v="50"/>
    <n v="150"/>
    <n v="2.25"/>
    <n v="3"/>
    <n v="2.25"/>
  </r>
  <r>
    <n v="667"/>
    <x v="0"/>
    <n v="8"/>
    <n v="1"/>
    <s v="Tuesday"/>
    <s v="August"/>
    <x v="291"/>
    <s v="CUST667"/>
    <x v="1"/>
    <x v="1"/>
    <n v="29"/>
    <x v="2"/>
    <n v="1"/>
    <n v="500"/>
    <n v="500"/>
    <n v="7.5"/>
    <n v="10"/>
    <n v="7.5"/>
  </r>
  <r>
    <n v="668"/>
    <x v="0"/>
    <n v="7"/>
    <n v="28"/>
    <s v="Friday"/>
    <s v="July"/>
    <x v="180"/>
    <s v="CUST668"/>
    <x v="1"/>
    <x v="2"/>
    <n v="62"/>
    <x v="2"/>
    <n v="3"/>
    <n v="50"/>
    <n v="150"/>
    <n v="2.25"/>
    <n v="3"/>
    <n v="2.25"/>
  </r>
  <r>
    <n v="669"/>
    <x v="0"/>
    <n v="6"/>
    <n v="19"/>
    <s v="Monday"/>
    <s v="June"/>
    <x v="171"/>
    <s v="CUST669"/>
    <x v="0"/>
    <x v="1"/>
    <n v="24"/>
    <x v="0"/>
    <n v="4"/>
    <n v="300"/>
    <n v="1200"/>
    <n v="18"/>
    <n v="24"/>
    <n v="18"/>
  </r>
  <r>
    <n v="670"/>
    <x v="0"/>
    <n v="10"/>
    <n v="5"/>
    <s v="Thursday"/>
    <s v="October"/>
    <x v="209"/>
    <s v="CUST670"/>
    <x v="0"/>
    <x v="1"/>
    <n v="27"/>
    <x v="0"/>
    <n v="1"/>
    <n v="30"/>
    <n v="30"/>
    <n v="0.44999999999999996"/>
    <n v="0.6"/>
    <n v="0.44999999999999996"/>
  </r>
  <r>
    <n v="671"/>
    <x v="0"/>
    <n v="8"/>
    <n v="27"/>
    <s v="Sunday"/>
    <s v="August"/>
    <x v="286"/>
    <s v="CUST671"/>
    <x v="0"/>
    <x v="2"/>
    <n v="62"/>
    <x v="2"/>
    <n v="3"/>
    <n v="50"/>
    <n v="150"/>
    <n v="2.25"/>
    <n v="3"/>
    <n v="2.25"/>
  </r>
  <r>
    <n v="672"/>
    <x v="0"/>
    <n v="8"/>
    <n v="1"/>
    <s v="Tuesday"/>
    <s v="August"/>
    <x v="291"/>
    <s v="CUST672"/>
    <x v="1"/>
    <x v="0"/>
    <n v="34"/>
    <x v="0"/>
    <n v="2"/>
    <n v="50"/>
    <n v="100"/>
    <n v="1.5"/>
    <n v="2"/>
    <n v="1.5"/>
  </r>
  <r>
    <n v="673"/>
    <x v="0"/>
    <n v="2"/>
    <n v="1"/>
    <s v="Wednesday"/>
    <s v="February"/>
    <x v="190"/>
    <s v="CUST673"/>
    <x v="1"/>
    <x v="0"/>
    <n v="43"/>
    <x v="1"/>
    <n v="3"/>
    <n v="500"/>
    <n v="1500"/>
    <n v="22.5"/>
    <n v="30"/>
    <n v="22.5"/>
  </r>
  <r>
    <n v="674"/>
    <x v="0"/>
    <n v="4"/>
    <n v="16"/>
    <s v="Sunday"/>
    <s v="April"/>
    <x v="312"/>
    <s v="CUST674"/>
    <x v="1"/>
    <x v="0"/>
    <n v="38"/>
    <x v="1"/>
    <n v="1"/>
    <n v="300"/>
    <n v="300"/>
    <n v="4.5"/>
    <n v="6"/>
    <n v="4.5"/>
  </r>
  <r>
    <n v="675"/>
    <x v="0"/>
    <n v="8"/>
    <n v="4"/>
    <s v="Friday"/>
    <s v="August"/>
    <x v="279"/>
    <s v="CUST675"/>
    <x v="1"/>
    <x v="0"/>
    <n v="45"/>
    <x v="1"/>
    <n v="2"/>
    <n v="30"/>
    <n v="60"/>
    <n v="0.89999999999999991"/>
    <n v="1.2"/>
    <n v="0.89999999999999991"/>
  </r>
  <r>
    <n v="676"/>
    <x v="0"/>
    <n v="7"/>
    <n v="19"/>
    <s v="Wednesday"/>
    <s v="July"/>
    <x v="202"/>
    <s v="CUST676"/>
    <x v="0"/>
    <x v="2"/>
    <n v="63"/>
    <x v="2"/>
    <n v="3"/>
    <n v="500"/>
    <n v="1500"/>
    <n v="22.5"/>
    <n v="30"/>
    <n v="22.5"/>
  </r>
  <r>
    <n v="677"/>
    <x v="0"/>
    <n v="10"/>
    <n v="27"/>
    <s v="Friday"/>
    <s v="October"/>
    <x v="101"/>
    <s v="CUST677"/>
    <x v="1"/>
    <x v="1"/>
    <n v="19"/>
    <x v="0"/>
    <n v="3"/>
    <n v="500"/>
    <n v="1500"/>
    <n v="22.5"/>
    <n v="30"/>
    <n v="22.5"/>
  </r>
  <r>
    <n v="678"/>
    <x v="0"/>
    <n v="12"/>
    <n v="23"/>
    <s v="Saturday"/>
    <s v="December"/>
    <x v="204"/>
    <s v="CUST678"/>
    <x v="1"/>
    <x v="2"/>
    <n v="60"/>
    <x v="2"/>
    <n v="3"/>
    <n v="300"/>
    <n v="900"/>
    <n v="13.5"/>
    <n v="18"/>
    <n v="13.5"/>
  </r>
  <r>
    <n v="679"/>
    <x v="0"/>
    <n v="1"/>
    <n v="11"/>
    <s v="Wednesday"/>
    <s v="January"/>
    <x v="166"/>
    <s v="CUST679"/>
    <x v="1"/>
    <x v="1"/>
    <n v="18"/>
    <x v="0"/>
    <n v="3"/>
    <n v="30"/>
    <n v="90"/>
    <n v="1.3499999999999999"/>
    <n v="1.8"/>
    <n v="1.3499999999999999"/>
  </r>
  <r>
    <n v="680"/>
    <x v="0"/>
    <n v="10"/>
    <n v="22"/>
    <s v="Sunday"/>
    <s v="October"/>
    <x v="293"/>
    <s v="CUST680"/>
    <x v="1"/>
    <x v="2"/>
    <n v="53"/>
    <x v="1"/>
    <n v="3"/>
    <n v="300"/>
    <n v="900"/>
    <n v="13.5"/>
    <n v="18"/>
    <n v="13.5"/>
  </r>
  <r>
    <n v="681"/>
    <x v="0"/>
    <n v="7"/>
    <n v="14"/>
    <s v="Friday"/>
    <s v="July"/>
    <x v="37"/>
    <s v="CUST681"/>
    <x v="1"/>
    <x v="0"/>
    <n v="43"/>
    <x v="2"/>
    <n v="2"/>
    <n v="30"/>
    <n v="60"/>
    <n v="0.89999999999999991"/>
    <n v="1.2"/>
    <n v="0.89999999999999991"/>
  </r>
  <r>
    <n v="682"/>
    <x v="0"/>
    <n v="9"/>
    <n v="2"/>
    <s v="Saturday"/>
    <s v="September"/>
    <x v="211"/>
    <s v="CUST682"/>
    <x v="0"/>
    <x v="0"/>
    <n v="46"/>
    <x v="0"/>
    <n v="4"/>
    <n v="300"/>
    <n v="1200"/>
    <n v="18"/>
    <n v="24"/>
    <n v="18"/>
  </r>
  <r>
    <n v="683"/>
    <x v="0"/>
    <n v="1"/>
    <n v="4"/>
    <s v="Wednesday"/>
    <s v="January"/>
    <x v="30"/>
    <s v="CUST683"/>
    <x v="0"/>
    <x v="0"/>
    <n v="38"/>
    <x v="0"/>
    <n v="2"/>
    <n v="500"/>
    <n v="1000"/>
    <n v="15"/>
    <n v="20"/>
    <n v="15"/>
  </r>
  <r>
    <n v="684"/>
    <x v="0"/>
    <n v="6"/>
    <n v="30"/>
    <s v="Friday"/>
    <s v="June"/>
    <x v="313"/>
    <s v="CUST684"/>
    <x v="1"/>
    <x v="1"/>
    <n v="28"/>
    <x v="1"/>
    <n v="2"/>
    <n v="500"/>
    <n v="1000"/>
    <n v="15"/>
    <n v="20"/>
    <n v="15"/>
  </r>
  <r>
    <n v="685"/>
    <x v="0"/>
    <n v="6"/>
    <n v="2"/>
    <s v="Friday"/>
    <s v="June"/>
    <x v="132"/>
    <s v="CUST685"/>
    <x v="0"/>
    <x v="2"/>
    <n v="57"/>
    <x v="2"/>
    <n v="2"/>
    <n v="25"/>
    <n v="50"/>
    <n v="0.75"/>
    <n v="1"/>
    <n v="0.75"/>
  </r>
  <r>
    <n v="686"/>
    <x v="0"/>
    <n v="7"/>
    <n v="19"/>
    <s v="Wednesday"/>
    <s v="July"/>
    <x v="202"/>
    <s v="CUST686"/>
    <x v="1"/>
    <x v="1"/>
    <n v="28"/>
    <x v="2"/>
    <n v="4"/>
    <n v="50"/>
    <n v="200"/>
    <n v="3"/>
    <n v="4"/>
    <n v="3"/>
  </r>
  <r>
    <n v="687"/>
    <x v="0"/>
    <n v="8"/>
    <n v="3"/>
    <s v="Thursday"/>
    <s v="August"/>
    <x v="25"/>
    <s v="CUST687"/>
    <x v="1"/>
    <x v="2"/>
    <n v="53"/>
    <x v="2"/>
    <n v="1"/>
    <n v="300"/>
    <n v="300"/>
    <n v="4.5"/>
    <n v="6"/>
    <n v="4.5"/>
  </r>
  <r>
    <n v="688"/>
    <x v="0"/>
    <n v="10"/>
    <n v="3"/>
    <s v="Tuesday"/>
    <s v="October"/>
    <x v="99"/>
    <s v="CUST688"/>
    <x v="0"/>
    <x v="2"/>
    <n v="56"/>
    <x v="1"/>
    <n v="4"/>
    <n v="25"/>
    <n v="100"/>
    <n v="1.5"/>
    <n v="2"/>
    <n v="1.5"/>
  </r>
  <r>
    <n v="689"/>
    <x v="0"/>
    <n v="10"/>
    <n v="7"/>
    <s v="Saturday"/>
    <s v="October"/>
    <x v="9"/>
    <s v="CUST689"/>
    <x v="0"/>
    <x v="2"/>
    <n v="57"/>
    <x v="2"/>
    <n v="2"/>
    <n v="50"/>
    <n v="100"/>
    <n v="1.5"/>
    <n v="2"/>
    <n v="1.5"/>
  </r>
  <r>
    <n v="690"/>
    <x v="0"/>
    <n v="11"/>
    <n v="5"/>
    <s v="Sunday"/>
    <s v="November"/>
    <x v="19"/>
    <s v="CUST690"/>
    <x v="1"/>
    <x v="2"/>
    <n v="52"/>
    <x v="1"/>
    <n v="3"/>
    <n v="300"/>
    <n v="900"/>
    <n v="13.5"/>
    <n v="18"/>
    <n v="13.5"/>
  </r>
  <r>
    <n v="691"/>
    <x v="0"/>
    <n v="4"/>
    <n v="23"/>
    <s v="Sunday"/>
    <s v="April"/>
    <x v="26"/>
    <s v="CUST691"/>
    <x v="1"/>
    <x v="2"/>
    <n v="51"/>
    <x v="1"/>
    <n v="3"/>
    <n v="30"/>
    <n v="90"/>
    <n v="1.3499999999999999"/>
    <n v="1.8"/>
    <n v="1.3499999999999999"/>
  </r>
  <r>
    <n v="692"/>
    <x v="0"/>
    <n v="9"/>
    <n v="7"/>
    <s v="Thursday"/>
    <s v="September"/>
    <x v="206"/>
    <s v="CUST692"/>
    <x v="1"/>
    <x v="2"/>
    <n v="64"/>
    <x v="1"/>
    <n v="2"/>
    <n v="50"/>
    <n v="100"/>
    <n v="1.5"/>
    <n v="2"/>
    <n v="1.5"/>
  </r>
  <r>
    <n v="693"/>
    <x v="0"/>
    <n v="4"/>
    <n v="23"/>
    <s v="Sunday"/>
    <s v="April"/>
    <x v="26"/>
    <s v="CUST693"/>
    <x v="0"/>
    <x v="0"/>
    <n v="41"/>
    <x v="0"/>
    <n v="3"/>
    <n v="500"/>
    <n v="1500"/>
    <n v="22.5"/>
    <n v="30"/>
    <n v="22.5"/>
  </r>
  <r>
    <n v="694"/>
    <x v="0"/>
    <n v="5"/>
    <n v="20"/>
    <s v="Saturday"/>
    <s v="May"/>
    <x v="241"/>
    <s v="CUST694"/>
    <x v="1"/>
    <x v="0"/>
    <n v="39"/>
    <x v="2"/>
    <n v="2"/>
    <n v="25"/>
    <n v="50"/>
    <n v="0.75"/>
    <n v="1"/>
    <n v="0.75"/>
  </r>
  <r>
    <n v="695"/>
    <x v="0"/>
    <n v="8"/>
    <n v="12"/>
    <s v="Saturday"/>
    <s v="August"/>
    <x v="269"/>
    <s v="CUST695"/>
    <x v="1"/>
    <x v="1"/>
    <n v="22"/>
    <x v="2"/>
    <n v="3"/>
    <n v="50"/>
    <n v="150"/>
    <n v="2.25"/>
    <n v="3"/>
    <n v="2.25"/>
  </r>
  <r>
    <n v="696"/>
    <x v="0"/>
    <n v="9"/>
    <n v="6"/>
    <s v="Wednesday"/>
    <s v="September"/>
    <x v="147"/>
    <s v="CUST696"/>
    <x v="1"/>
    <x v="2"/>
    <n v="50"/>
    <x v="1"/>
    <n v="4"/>
    <n v="50"/>
    <n v="200"/>
    <n v="3"/>
    <n v="4"/>
    <n v="3"/>
  </r>
  <r>
    <n v="697"/>
    <x v="0"/>
    <n v="1"/>
    <n v="15"/>
    <s v="Sunday"/>
    <s v="January"/>
    <x v="267"/>
    <s v="CUST697"/>
    <x v="0"/>
    <x v="2"/>
    <n v="53"/>
    <x v="1"/>
    <n v="1"/>
    <n v="500"/>
    <n v="500"/>
    <n v="7.5"/>
    <n v="10"/>
    <n v="7.5"/>
  </r>
  <r>
    <n v="698"/>
    <x v="0"/>
    <n v="7"/>
    <n v="19"/>
    <s v="Wednesday"/>
    <s v="July"/>
    <x v="202"/>
    <s v="CUST698"/>
    <x v="1"/>
    <x v="2"/>
    <n v="64"/>
    <x v="2"/>
    <n v="1"/>
    <n v="300"/>
    <n v="300"/>
    <n v="4.5"/>
    <n v="6"/>
    <n v="4.5"/>
  </r>
  <r>
    <n v="699"/>
    <x v="0"/>
    <n v="6"/>
    <n v="22"/>
    <s v="Thursday"/>
    <s v="June"/>
    <x v="36"/>
    <s v="CUST699"/>
    <x v="1"/>
    <x v="0"/>
    <n v="37"/>
    <x v="1"/>
    <n v="4"/>
    <n v="30"/>
    <n v="120"/>
    <n v="1.7999999999999998"/>
    <n v="2.4"/>
    <n v="1.7999999999999998"/>
  </r>
  <r>
    <n v="700"/>
    <x v="0"/>
    <n v="12"/>
    <n v="9"/>
    <s v="Saturday"/>
    <s v="December"/>
    <x v="174"/>
    <s v="CUST700"/>
    <x v="0"/>
    <x v="0"/>
    <n v="36"/>
    <x v="2"/>
    <n v="4"/>
    <n v="500"/>
    <n v="2000"/>
    <n v="30"/>
    <n v="40"/>
    <n v="30"/>
  </r>
  <r>
    <n v="701"/>
    <x v="0"/>
    <n v="12"/>
    <n v="14"/>
    <s v="Thursday"/>
    <s v="December"/>
    <x v="266"/>
    <s v="CUST701"/>
    <x v="1"/>
    <x v="2"/>
    <n v="52"/>
    <x v="0"/>
    <n v="2"/>
    <n v="30"/>
    <n v="60"/>
    <n v="0.89999999999999991"/>
    <n v="1.2"/>
    <n v="0.89999999999999991"/>
  </r>
  <r>
    <n v="702"/>
    <x v="0"/>
    <n v="7"/>
    <n v="27"/>
    <s v="Thursday"/>
    <s v="July"/>
    <x v="282"/>
    <s v="CUST702"/>
    <x v="1"/>
    <x v="2"/>
    <n v="60"/>
    <x v="1"/>
    <n v="2"/>
    <n v="300"/>
    <n v="600"/>
    <n v="9"/>
    <n v="12"/>
    <n v="9"/>
  </r>
  <r>
    <n v="703"/>
    <x v="0"/>
    <n v="3"/>
    <n v="26"/>
    <s v="Sunday"/>
    <s v="March"/>
    <x v="154"/>
    <s v="CUST703"/>
    <x v="0"/>
    <x v="0"/>
    <n v="34"/>
    <x v="2"/>
    <n v="2"/>
    <n v="50"/>
    <n v="100"/>
    <n v="1.5"/>
    <n v="2"/>
    <n v="1.5"/>
  </r>
  <r>
    <n v="704"/>
    <x v="0"/>
    <n v="8"/>
    <n v="28"/>
    <s v="Monday"/>
    <s v="August"/>
    <x v="117"/>
    <s v="CUST704"/>
    <x v="1"/>
    <x v="2"/>
    <n v="62"/>
    <x v="1"/>
    <n v="3"/>
    <n v="30"/>
    <n v="90"/>
    <n v="1.3499999999999999"/>
    <n v="1.8"/>
    <n v="1.3499999999999999"/>
  </r>
  <r>
    <n v="705"/>
    <x v="0"/>
    <n v="3"/>
    <n v="7"/>
    <s v="Tuesday"/>
    <s v="March"/>
    <x v="150"/>
    <s v="CUST705"/>
    <x v="0"/>
    <x v="2"/>
    <n v="60"/>
    <x v="2"/>
    <n v="2"/>
    <n v="25"/>
    <n v="50"/>
    <n v="0.75"/>
    <n v="1"/>
    <n v="0.75"/>
  </r>
  <r>
    <n v="706"/>
    <x v="0"/>
    <n v="11"/>
    <n v="15"/>
    <s v="Wednesday"/>
    <s v="November"/>
    <x v="229"/>
    <s v="CUST706"/>
    <x v="0"/>
    <x v="2"/>
    <n v="51"/>
    <x v="2"/>
    <n v="4"/>
    <n v="25"/>
    <n v="100"/>
    <n v="1.5"/>
    <n v="2"/>
    <n v="1.5"/>
  </r>
  <r>
    <n v="707"/>
    <x v="0"/>
    <n v="10"/>
    <n v="1"/>
    <s v="Sunday"/>
    <s v="October"/>
    <x v="77"/>
    <s v="CUST707"/>
    <x v="1"/>
    <x v="1"/>
    <n v="26"/>
    <x v="1"/>
    <n v="1"/>
    <n v="500"/>
    <n v="500"/>
    <n v="7.5"/>
    <n v="10"/>
    <n v="7.5"/>
  </r>
  <r>
    <n v="708"/>
    <x v="0"/>
    <n v="1"/>
    <n v="14"/>
    <s v="Saturday"/>
    <s v="January"/>
    <x v="20"/>
    <s v="CUST708"/>
    <x v="1"/>
    <x v="0"/>
    <n v="43"/>
    <x v="0"/>
    <n v="3"/>
    <n v="300"/>
    <n v="900"/>
    <n v="13.5"/>
    <n v="18"/>
    <n v="13.5"/>
  </r>
  <r>
    <n v="709"/>
    <x v="0"/>
    <n v="7"/>
    <n v="21"/>
    <s v="Friday"/>
    <s v="July"/>
    <x v="314"/>
    <s v="CUST709"/>
    <x v="1"/>
    <x v="1"/>
    <n v="19"/>
    <x v="2"/>
    <n v="2"/>
    <n v="500"/>
    <n v="1000"/>
    <n v="15"/>
    <n v="20"/>
    <n v="15"/>
  </r>
  <r>
    <n v="710"/>
    <x v="0"/>
    <n v="10"/>
    <n v="31"/>
    <s v="Tuesday"/>
    <s v="October"/>
    <x v="315"/>
    <s v="CUST710"/>
    <x v="1"/>
    <x v="1"/>
    <n v="26"/>
    <x v="2"/>
    <n v="3"/>
    <n v="500"/>
    <n v="1500"/>
    <n v="22.5"/>
    <n v="30"/>
    <n v="22.5"/>
  </r>
  <r>
    <n v="711"/>
    <x v="0"/>
    <n v="10"/>
    <n v="16"/>
    <s v="Monday"/>
    <s v="October"/>
    <x v="230"/>
    <s v="CUST711"/>
    <x v="0"/>
    <x v="1"/>
    <n v="26"/>
    <x v="2"/>
    <n v="3"/>
    <n v="500"/>
    <n v="1500"/>
    <n v="22.5"/>
    <n v="30"/>
    <n v="22.5"/>
  </r>
  <r>
    <n v="712"/>
    <x v="0"/>
    <n v="12"/>
    <n v="6"/>
    <s v="Wednesday"/>
    <s v="December"/>
    <x v="237"/>
    <s v="CUST712"/>
    <x v="1"/>
    <x v="2"/>
    <n v="57"/>
    <x v="0"/>
    <n v="2"/>
    <n v="25"/>
    <n v="50"/>
    <n v="0.75"/>
    <n v="1"/>
    <n v="0.75"/>
  </r>
  <r>
    <n v="713"/>
    <x v="0"/>
    <n v="1"/>
    <n v="14"/>
    <s v="Saturday"/>
    <s v="January"/>
    <x v="20"/>
    <s v="CUST713"/>
    <x v="0"/>
    <x v="0"/>
    <n v="34"/>
    <x v="0"/>
    <n v="3"/>
    <n v="25"/>
    <n v="75"/>
    <n v="1.125"/>
    <n v="1.5"/>
    <n v="1.125"/>
  </r>
  <r>
    <n v="714"/>
    <x v="0"/>
    <n v="2"/>
    <n v="12"/>
    <s v="Sunday"/>
    <s v="February"/>
    <x v="316"/>
    <s v="CUST714"/>
    <x v="1"/>
    <x v="1"/>
    <n v="18"/>
    <x v="1"/>
    <n v="1"/>
    <n v="500"/>
    <n v="500"/>
    <n v="7.5"/>
    <n v="10"/>
    <n v="7.5"/>
  </r>
  <r>
    <n v="715"/>
    <x v="0"/>
    <n v="11"/>
    <n v="26"/>
    <s v="Sunday"/>
    <s v="November"/>
    <x v="95"/>
    <s v="CUST715"/>
    <x v="1"/>
    <x v="0"/>
    <n v="42"/>
    <x v="0"/>
    <n v="4"/>
    <n v="25"/>
    <n v="100"/>
    <n v="1.5"/>
    <n v="2"/>
    <n v="1.5"/>
  </r>
  <r>
    <n v="716"/>
    <x v="0"/>
    <n v="8"/>
    <n v="8"/>
    <s v="Tuesday"/>
    <s v="August"/>
    <x v="102"/>
    <s v="CUST716"/>
    <x v="1"/>
    <x v="2"/>
    <n v="60"/>
    <x v="1"/>
    <n v="4"/>
    <n v="300"/>
    <n v="1200"/>
    <n v="18"/>
    <n v="24"/>
    <n v="18"/>
  </r>
  <r>
    <n v="717"/>
    <x v="0"/>
    <n v="3"/>
    <n v="11"/>
    <s v="Saturday"/>
    <s v="March"/>
    <x v="317"/>
    <s v="CUST717"/>
    <x v="0"/>
    <x v="2"/>
    <n v="57"/>
    <x v="1"/>
    <n v="1"/>
    <n v="500"/>
    <n v="500"/>
    <n v="7.5"/>
    <n v="10"/>
    <n v="7.5"/>
  </r>
  <r>
    <n v="718"/>
    <x v="0"/>
    <n v="8"/>
    <n v="25"/>
    <s v="Friday"/>
    <s v="August"/>
    <x v="78"/>
    <s v="CUST718"/>
    <x v="1"/>
    <x v="2"/>
    <n v="59"/>
    <x v="0"/>
    <n v="3"/>
    <n v="25"/>
    <n v="75"/>
    <n v="1.125"/>
    <n v="1.5"/>
    <n v="1.125"/>
  </r>
  <r>
    <n v="719"/>
    <x v="0"/>
    <n v="4"/>
    <n v="4"/>
    <s v="Tuesday"/>
    <s v="April"/>
    <x v="194"/>
    <s v="CUST719"/>
    <x v="1"/>
    <x v="0"/>
    <n v="42"/>
    <x v="1"/>
    <n v="2"/>
    <n v="30"/>
    <n v="60"/>
    <n v="0.89999999999999991"/>
    <n v="1.2"/>
    <n v="0.89999999999999991"/>
  </r>
  <r>
    <n v="720"/>
    <x v="0"/>
    <n v="1"/>
    <n v="26"/>
    <s v="Thursday"/>
    <s v="January"/>
    <x v="197"/>
    <s v="CUST720"/>
    <x v="1"/>
    <x v="2"/>
    <n v="56"/>
    <x v="0"/>
    <n v="3"/>
    <n v="500"/>
    <n v="1500"/>
    <n v="22.5"/>
    <n v="30"/>
    <n v="22.5"/>
  </r>
  <r>
    <n v="721"/>
    <x v="0"/>
    <n v="5"/>
    <n v="14"/>
    <s v="Sunday"/>
    <s v="May"/>
    <x v="224"/>
    <s v="CUST721"/>
    <x v="1"/>
    <x v="2"/>
    <n v="52"/>
    <x v="1"/>
    <n v="1"/>
    <n v="500"/>
    <n v="500"/>
    <n v="7.5"/>
    <n v="10"/>
    <n v="7.5"/>
  </r>
  <r>
    <n v="722"/>
    <x v="0"/>
    <n v="7"/>
    <n v="14"/>
    <s v="Friday"/>
    <s v="July"/>
    <x v="37"/>
    <s v="CUST722"/>
    <x v="0"/>
    <x v="1"/>
    <n v="20"/>
    <x v="0"/>
    <n v="3"/>
    <n v="300"/>
    <n v="900"/>
    <n v="13.5"/>
    <n v="18"/>
    <n v="13.5"/>
  </r>
  <r>
    <n v="723"/>
    <x v="0"/>
    <n v="6"/>
    <n v="17"/>
    <s v="Saturday"/>
    <s v="June"/>
    <x v="278"/>
    <s v="CUST723"/>
    <x v="1"/>
    <x v="2"/>
    <n v="54"/>
    <x v="0"/>
    <n v="4"/>
    <n v="50"/>
    <n v="200"/>
    <n v="3"/>
    <n v="4"/>
    <n v="3"/>
  </r>
  <r>
    <n v="724"/>
    <x v="0"/>
    <n v="4"/>
    <n v="19"/>
    <s v="Wednesday"/>
    <s v="April"/>
    <x v="90"/>
    <s v="CUST724"/>
    <x v="0"/>
    <x v="2"/>
    <n v="61"/>
    <x v="1"/>
    <n v="3"/>
    <n v="50"/>
    <n v="150"/>
    <n v="2.25"/>
    <n v="3"/>
    <n v="2.25"/>
  </r>
  <r>
    <n v="725"/>
    <x v="0"/>
    <n v="8"/>
    <n v="21"/>
    <s v="Monday"/>
    <s v="August"/>
    <x v="63"/>
    <s v="CUST725"/>
    <x v="0"/>
    <x v="2"/>
    <n v="61"/>
    <x v="2"/>
    <n v="1"/>
    <n v="300"/>
    <n v="300"/>
    <n v="4.5"/>
    <n v="6"/>
    <n v="4.5"/>
  </r>
  <r>
    <n v="726"/>
    <x v="0"/>
    <n v="6"/>
    <n v="17"/>
    <s v="Saturday"/>
    <s v="June"/>
    <x v="278"/>
    <s v="CUST726"/>
    <x v="0"/>
    <x v="0"/>
    <n v="47"/>
    <x v="1"/>
    <n v="4"/>
    <n v="300"/>
    <n v="1200"/>
    <n v="18"/>
    <n v="24"/>
    <n v="18"/>
  </r>
  <r>
    <n v="727"/>
    <x v="0"/>
    <n v="6"/>
    <n v="22"/>
    <s v="Thursday"/>
    <s v="June"/>
    <x v="36"/>
    <s v="CUST727"/>
    <x v="0"/>
    <x v="2"/>
    <n v="55"/>
    <x v="0"/>
    <n v="3"/>
    <n v="300"/>
    <n v="900"/>
    <n v="13.5"/>
    <n v="18"/>
    <n v="13.5"/>
  </r>
  <r>
    <n v="728"/>
    <x v="0"/>
    <n v="7"/>
    <n v="14"/>
    <s v="Friday"/>
    <s v="July"/>
    <x v="37"/>
    <s v="CUST728"/>
    <x v="0"/>
    <x v="2"/>
    <n v="51"/>
    <x v="2"/>
    <n v="3"/>
    <n v="50"/>
    <n v="150"/>
    <n v="2.25"/>
    <n v="3"/>
    <n v="2.25"/>
  </r>
  <r>
    <n v="729"/>
    <x v="0"/>
    <n v="5"/>
    <n v="23"/>
    <s v="Tuesday"/>
    <s v="May"/>
    <x v="29"/>
    <s v="CUST729"/>
    <x v="0"/>
    <x v="1"/>
    <n v="29"/>
    <x v="1"/>
    <n v="4"/>
    <n v="300"/>
    <n v="1200"/>
    <n v="18"/>
    <n v="24"/>
    <n v="18"/>
  </r>
  <r>
    <n v="730"/>
    <x v="0"/>
    <n v="8"/>
    <n v="4"/>
    <s v="Friday"/>
    <s v="August"/>
    <x v="279"/>
    <s v="CUST730"/>
    <x v="1"/>
    <x v="0"/>
    <n v="36"/>
    <x v="1"/>
    <n v="2"/>
    <n v="25"/>
    <n v="50"/>
    <n v="0.75"/>
    <n v="1"/>
    <n v="0.75"/>
  </r>
  <r>
    <n v="731"/>
    <x v="0"/>
    <n v="5"/>
    <n v="10"/>
    <s v="Wednesday"/>
    <s v="May"/>
    <x v="318"/>
    <s v="CUST731"/>
    <x v="0"/>
    <x v="2"/>
    <n v="54"/>
    <x v="1"/>
    <n v="4"/>
    <n v="500"/>
    <n v="2000"/>
    <n v="30"/>
    <n v="40"/>
    <n v="30"/>
  </r>
  <r>
    <n v="732"/>
    <x v="0"/>
    <n v="2"/>
    <n v="11"/>
    <s v="Saturday"/>
    <s v="February"/>
    <x v="213"/>
    <s v="CUST732"/>
    <x v="0"/>
    <x v="2"/>
    <n v="61"/>
    <x v="2"/>
    <n v="2"/>
    <n v="500"/>
    <n v="1000"/>
    <n v="15"/>
    <n v="20"/>
    <n v="15"/>
  </r>
  <r>
    <n v="733"/>
    <x v="0"/>
    <n v="8"/>
    <n v="29"/>
    <s v="Tuesday"/>
    <s v="August"/>
    <x v="261"/>
    <s v="CUST733"/>
    <x v="0"/>
    <x v="0"/>
    <n v="34"/>
    <x v="0"/>
    <n v="1"/>
    <n v="30"/>
    <n v="30"/>
    <n v="0.44999999999999996"/>
    <n v="0.6"/>
    <n v="0.44999999999999996"/>
  </r>
  <r>
    <n v="734"/>
    <x v="0"/>
    <n v="1"/>
    <n v="10"/>
    <s v="Tuesday"/>
    <s v="January"/>
    <x v="141"/>
    <s v="CUST734"/>
    <x v="1"/>
    <x v="1"/>
    <n v="27"/>
    <x v="1"/>
    <n v="1"/>
    <n v="30"/>
    <n v="30"/>
    <n v="0.44999999999999996"/>
    <n v="0.6"/>
    <n v="0.44999999999999996"/>
  </r>
  <r>
    <n v="735"/>
    <x v="0"/>
    <n v="10"/>
    <n v="4"/>
    <s v="Wednesday"/>
    <s v="October"/>
    <x v="135"/>
    <s v="CUST735"/>
    <x v="1"/>
    <x v="2"/>
    <n v="64"/>
    <x v="1"/>
    <n v="4"/>
    <n v="500"/>
    <n v="2000"/>
    <n v="30"/>
    <n v="40"/>
    <n v="30"/>
  </r>
  <r>
    <n v="736"/>
    <x v="0"/>
    <n v="1"/>
    <n v="27"/>
    <s v="Friday"/>
    <s v="January"/>
    <x v="246"/>
    <s v="CUST736"/>
    <x v="0"/>
    <x v="1"/>
    <n v="29"/>
    <x v="1"/>
    <n v="4"/>
    <n v="25"/>
    <n v="100"/>
    <n v="1.5"/>
    <n v="2"/>
    <n v="1.5"/>
  </r>
  <r>
    <n v="737"/>
    <x v="0"/>
    <n v="6"/>
    <n v="29"/>
    <s v="Thursday"/>
    <s v="June"/>
    <x v="263"/>
    <s v="CUST737"/>
    <x v="1"/>
    <x v="0"/>
    <n v="33"/>
    <x v="1"/>
    <n v="1"/>
    <n v="50"/>
    <n v="50"/>
    <n v="0.75"/>
    <n v="1"/>
    <n v="0.75"/>
  </r>
  <r>
    <n v="738"/>
    <x v="0"/>
    <n v="4"/>
    <n v="25"/>
    <s v="Tuesday"/>
    <s v="April"/>
    <x v="5"/>
    <s v="CUST738"/>
    <x v="0"/>
    <x v="0"/>
    <n v="41"/>
    <x v="1"/>
    <n v="2"/>
    <n v="50"/>
    <n v="100"/>
    <n v="1.5"/>
    <n v="2"/>
    <n v="1.5"/>
  </r>
  <r>
    <n v="739"/>
    <x v="0"/>
    <n v="11"/>
    <n v="29"/>
    <s v="Wednesday"/>
    <s v="November"/>
    <x v="23"/>
    <s v="CUST739"/>
    <x v="0"/>
    <x v="0"/>
    <n v="36"/>
    <x v="0"/>
    <n v="1"/>
    <n v="25"/>
    <n v="25"/>
    <n v="0.375"/>
    <n v="0.5"/>
    <n v="0.375"/>
  </r>
  <r>
    <n v="740"/>
    <x v="0"/>
    <n v="2"/>
    <n v="5"/>
    <s v="Sunday"/>
    <s v="February"/>
    <x v="57"/>
    <s v="CUST740"/>
    <x v="1"/>
    <x v="1"/>
    <n v="25"/>
    <x v="0"/>
    <n v="4"/>
    <n v="50"/>
    <n v="200"/>
    <n v="3"/>
    <n v="4"/>
    <n v="3"/>
  </r>
  <r>
    <n v="741"/>
    <x v="0"/>
    <n v="11"/>
    <n v="30"/>
    <s v="Thursday"/>
    <s v="November"/>
    <x v="198"/>
    <s v="CUST741"/>
    <x v="0"/>
    <x v="0"/>
    <n v="48"/>
    <x v="1"/>
    <n v="1"/>
    <n v="300"/>
    <n v="300"/>
    <n v="4.5"/>
    <n v="6"/>
    <n v="4.5"/>
  </r>
  <r>
    <n v="742"/>
    <x v="0"/>
    <n v="1"/>
    <n v="21"/>
    <s v="Saturday"/>
    <s v="January"/>
    <x v="219"/>
    <s v="CUST742"/>
    <x v="1"/>
    <x v="0"/>
    <n v="38"/>
    <x v="2"/>
    <n v="4"/>
    <n v="500"/>
    <n v="2000"/>
    <n v="30"/>
    <n v="40"/>
    <n v="30"/>
  </r>
  <r>
    <n v="743"/>
    <x v="0"/>
    <n v="1"/>
    <n v="16"/>
    <s v="Monday"/>
    <s v="January"/>
    <x v="14"/>
    <s v="CUST743"/>
    <x v="1"/>
    <x v="0"/>
    <n v="34"/>
    <x v="0"/>
    <n v="4"/>
    <n v="500"/>
    <n v="2000"/>
    <n v="30"/>
    <n v="40"/>
    <n v="30"/>
  </r>
  <r>
    <n v="744"/>
    <x v="0"/>
    <n v="5"/>
    <n v="7"/>
    <s v="Sunday"/>
    <s v="May"/>
    <x v="98"/>
    <s v="CUST744"/>
    <x v="0"/>
    <x v="0"/>
    <n v="40"/>
    <x v="2"/>
    <n v="1"/>
    <n v="25"/>
    <n v="25"/>
    <n v="0.375"/>
    <n v="0.5"/>
    <n v="0.375"/>
  </r>
  <r>
    <n v="745"/>
    <x v="0"/>
    <n v="4"/>
    <n v="13"/>
    <s v="Thursday"/>
    <s v="April"/>
    <x v="157"/>
    <s v="CUST745"/>
    <x v="0"/>
    <x v="2"/>
    <n v="54"/>
    <x v="0"/>
    <n v="2"/>
    <n v="50"/>
    <n v="100"/>
    <n v="1.5"/>
    <n v="2"/>
    <n v="1.5"/>
  </r>
  <r>
    <n v="746"/>
    <x v="0"/>
    <n v="1"/>
    <n v="11"/>
    <s v="Wednesday"/>
    <s v="January"/>
    <x v="166"/>
    <s v="CUST746"/>
    <x v="1"/>
    <x v="0"/>
    <n v="33"/>
    <x v="1"/>
    <n v="3"/>
    <n v="30"/>
    <n v="90"/>
    <n v="1.3499999999999999"/>
    <n v="1.8"/>
    <n v="1.3499999999999999"/>
  </r>
  <r>
    <n v="747"/>
    <x v="0"/>
    <n v="11"/>
    <n v="15"/>
    <s v="Wednesday"/>
    <s v="November"/>
    <x v="229"/>
    <s v="CUST747"/>
    <x v="0"/>
    <x v="1"/>
    <n v="23"/>
    <x v="0"/>
    <n v="1"/>
    <n v="30"/>
    <n v="30"/>
    <n v="0.44999999999999996"/>
    <n v="0.6"/>
    <n v="0.44999999999999996"/>
  </r>
  <r>
    <n v="748"/>
    <x v="0"/>
    <n v="3"/>
    <n v="20"/>
    <s v="Monday"/>
    <s v="March"/>
    <x v="111"/>
    <s v="CUST748"/>
    <x v="0"/>
    <x v="1"/>
    <n v="25"/>
    <x v="1"/>
    <n v="3"/>
    <n v="50"/>
    <n v="150"/>
    <n v="2.25"/>
    <n v="3"/>
    <n v="2.25"/>
  </r>
  <r>
    <n v="749"/>
    <x v="0"/>
    <n v="5"/>
    <n v="3"/>
    <s v="Wednesday"/>
    <s v="May"/>
    <x v="143"/>
    <s v="CUST749"/>
    <x v="0"/>
    <x v="0"/>
    <n v="42"/>
    <x v="0"/>
    <n v="1"/>
    <n v="30"/>
    <n v="30"/>
    <n v="0.44999999999999996"/>
    <n v="0.6"/>
    <n v="0.44999999999999996"/>
  </r>
  <r>
    <n v="750"/>
    <x v="0"/>
    <n v="3"/>
    <n v="6"/>
    <s v="Monday"/>
    <s v="March"/>
    <x v="149"/>
    <s v="CUST750"/>
    <x v="1"/>
    <x v="0"/>
    <n v="35"/>
    <x v="1"/>
    <n v="3"/>
    <n v="25"/>
    <n v="75"/>
    <n v="1.125"/>
    <n v="1.5"/>
    <n v="1.125"/>
  </r>
  <r>
    <n v="751"/>
    <x v="0"/>
    <n v="8"/>
    <n v="31"/>
    <s v="Thursday"/>
    <s v="August"/>
    <x v="178"/>
    <s v="CUST751"/>
    <x v="1"/>
    <x v="0"/>
    <n v="42"/>
    <x v="1"/>
    <n v="2"/>
    <n v="25"/>
    <n v="50"/>
    <n v="0.75"/>
    <n v="1"/>
    <n v="0.75"/>
  </r>
  <r>
    <n v="752"/>
    <x v="0"/>
    <n v="12"/>
    <n v="9"/>
    <s v="Saturday"/>
    <s v="December"/>
    <x v="174"/>
    <s v="CUST752"/>
    <x v="0"/>
    <x v="1"/>
    <n v="29"/>
    <x v="1"/>
    <n v="2"/>
    <n v="50"/>
    <n v="100"/>
    <n v="1.5"/>
    <n v="2"/>
    <n v="1.5"/>
  </r>
  <r>
    <n v="753"/>
    <x v="0"/>
    <n v="2"/>
    <n v="28"/>
    <s v="Tuesday"/>
    <s v="February"/>
    <x v="122"/>
    <s v="CUST753"/>
    <x v="1"/>
    <x v="0"/>
    <n v="32"/>
    <x v="1"/>
    <n v="1"/>
    <n v="30"/>
    <n v="30"/>
    <n v="0.44999999999999996"/>
    <n v="0.6"/>
    <n v="0.44999999999999996"/>
  </r>
  <r>
    <n v="754"/>
    <x v="0"/>
    <n v="10"/>
    <n v="16"/>
    <s v="Monday"/>
    <s v="October"/>
    <x v="230"/>
    <s v="CUST754"/>
    <x v="1"/>
    <x v="0"/>
    <n v="43"/>
    <x v="2"/>
    <n v="4"/>
    <n v="25"/>
    <n v="100"/>
    <n v="1.5"/>
    <n v="2"/>
    <n v="1.5"/>
  </r>
  <r>
    <n v="755"/>
    <x v="0"/>
    <n v="4"/>
    <n v="22"/>
    <s v="Saturday"/>
    <s v="April"/>
    <x v="16"/>
    <s v="CUST755"/>
    <x v="1"/>
    <x v="2"/>
    <n v="58"/>
    <x v="1"/>
    <n v="3"/>
    <n v="25"/>
    <n v="75"/>
    <n v="1.125"/>
    <n v="1.5"/>
    <n v="1.125"/>
  </r>
  <r>
    <n v="756"/>
    <x v="0"/>
    <n v="8"/>
    <n v="27"/>
    <s v="Sunday"/>
    <s v="August"/>
    <x v="286"/>
    <s v="CUST756"/>
    <x v="1"/>
    <x v="2"/>
    <n v="62"/>
    <x v="2"/>
    <n v="4"/>
    <n v="300"/>
    <n v="1200"/>
    <n v="18"/>
    <n v="24"/>
    <n v="18"/>
  </r>
  <r>
    <n v="757"/>
    <x v="0"/>
    <n v="12"/>
    <n v="25"/>
    <s v="Monday"/>
    <s v="December"/>
    <x v="319"/>
    <s v="CUST757"/>
    <x v="1"/>
    <x v="0"/>
    <n v="43"/>
    <x v="2"/>
    <n v="4"/>
    <n v="300"/>
    <n v="1200"/>
    <n v="18"/>
    <n v="24"/>
    <n v="18"/>
  </r>
  <r>
    <n v="758"/>
    <x v="0"/>
    <n v="5"/>
    <n v="12"/>
    <s v="Friday"/>
    <s v="May"/>
    <x v="320"/>
    <s v="CUST758"/>
    <x v="0"/>
    <x v="2"/>
    <n v="64"/>
    <x v="1"/>
    <n v="4"/>
    <n v="25"/>
    <n v="100"/>
    <n v="1.5"/>
    <n v="2"/>
    <n v="1.5"/>
  </r>
  <r>
    <n v="759"/>
    <x v="0"/>
    <n v="7"/>
    <n v="8"/>
    <s v="Saturday"/>
    <s v="July"/>
    <x v="321"/>
    <s v="CUST759"/>
    <x v="0"/>
    <x v="0"/>
    <n v="49"/>
    <x v="2"/>
    <n v="2"/>
    <n v="50"/>
    <n v="100"/>
    <n v="1.5"/>
    <n v="2"/>
    <n v="1.5"/>
  </r>
  <r>
    <n v="760"/>
    <x v="0"/>
    <n v="3"/>
    <n v="27"/>
    <s v="Monday"/>
    <s v="March"/>
    <x v="200"/>
    <s v="CUST760"/>
    <x v="0"/>
    <x v="1"/>
    <n v="27"/>
    <x v="0"/>
    <n v="1"/>
    <n v="500"/>
    <n v="500"/>
    <n v="7.5"/>
    <n v="10"/>
    <n v="7.5"/>
  </r>
  <r>
    <n v="761"/>
    <x v="0"/>
    <n v="11"/>
    <n v="7"/>
    <s v="Tuesday"/>
    <s v="November"/>
    <x v="155"/>
    <s v="CUST761"/>
    <x v="1"/>
    <x v="0"/>
    <n v="33"/>
    <x v="1"/>
    <n v="1"/>
    <n v="500"/>
    <n v="500"/>
    <n v="7.5"/>
    <n v="10"/>
    <n v="7.5"/>
  </r>
  <r>
    <n v="762"/>
    <x v="0"/>
    <n v="11"/>
    <n v="7"/>
    <s v="Tuesday"/>
    <s v="November"/>
    <x v="155"/>
    <s v="CUST762"/>
    <x v="1"/>
    <x v="1"/>
    <n v="24"/>
    <x v="2"/>
    <n v="2"/>
    <n v="25"/>
    <n v="50"/>
    <n v="0.75"/>
    <n v="1"/>
    <n v="0.75"/>
  </r>
  <r>
    <n v="763"/>
    <x v="0"/>
    <n v="2"/>
    <n v="28"/>
    <s v="Tuesday"/>
    <s v="February"/>
    <x v="122"/>
    <s v="CUST763"/>
    <x v="0"/>
    <x v="0"/>
    <n v="34"/>
    <x v="1"/>
    <n v="2"/>
    <n v="25"/>
    <n v="50"/>
    <n v="0.75"/>
    <n v="1"/>
    <n v="0.75"/>
  </r>
  <r>
    <n v="764"/>
    <x v="0"/>
    <n v="3"/>
    <n v="25"/>
    <s v="Saturday"/>
    <s v="March"/>
    <x v="66"/>
    <s v="CUST764"/>
    <x v="1"/>
    <x v="0"/>
    <n v="40"/>
    <x v="1"/>
    <n v="1"/>
    <n v="25"/>
    <n v="25"/>
    <n v="0.375"/>
    <n v="0.5"/>
    <n v="0.375"/>
  </r>
  <r>
    <n v="765"/>
    <x v="0"/>
    <n v="6"/>
    <n v="9"/>
    <s v="Friday"/>
    <s v="June"/>
    <x v="159"/>
    <s v="CUST765"/>
    <x v="0"/>
    <x v="0"/>
    <n v="43"/>
    <x v="1"/>
    <n v="4"/>
    <n v="50"/>
    <n v="200"/>
    <n v="3"/>
    <n v="4"/>
    <n v="3"/>
  </r>
  <r>
    <n v="766"/>
    <x v="0"/>
    <n v="2"/>
    <n v="25"/>
    <s v="Saturday"/>
    <s v="February"/>
    <x v="192"/>
    <s v="CUST766"/>
    <x v="0"/>
    <x v="0"/>
    <n v="38"/>
    <x v="2"/>
    <n v="3"/>
    <n v="300"/>
    <n v="900"/>
    <n v="13.5"/>
    <n v="18"/>
    <n v="13.5"/>
  </r>
  <r>
    <n v="767"/>
    <x v="0"/>
    <n v="10"/>
    <n v="24"/>
    <s v="Tuesday"/>
    <s v="October"/>
    <x v="208"/>
    <s v="CUST767"/>
    <x v="0"/>
    <x v="0"/>
    <n v="39"/>
    <x v="0"/>
    <n v="3"/>
    <n v="25"/>
    <n v="75"/>
    <n v="1.125"/>
    <n v="1.5"/>
    <n v="1.125"/>
  </r>
  <r>
    <n v="768"/>
    <x v="0"/>
    <n v="1"/>
    <n v="14"/>
    <s v="Saturday"/>
    <s v="January"/>
    <x v="20"/>
    <s v="CUST768"/>
    <x v="1"/>
    <x v="1"/>
    <n v="24"/>
    <x v="0"/>
    <n v="3"/>
    <n v="25"/>
    <n v="75"/>
    <n v="1.125"/>
    <n v="1.5"/>
    <n v="1.125"/>
  </r>
  <r>
    <n v="769"/>
    <x v="0"/>
    <n v="6"/>
    <n v="9"/>
    <s v="Friday"/>
    <s v="June"/>
    <x v="159"/>
    <s v="CUST769"/>
    <x v="1"/>
    <x v="0"/>
    <n v="31"/>
    <x v="2"/>
    <n v="4"/>
    <n v="30"/>
    <n v="120"/>
    <n v="1.7999999999999998"/>
    <n v="2.4"/>
    <n v="1.7999999999999998"/>
  </r>
  <r>
    <n v="770"/>
    <x v="0"/>
    <n v="10"/>
    <n v="22"/>
    <s v="Sunday"/>
    <s v="October"/>
    <x v="293"/>
    <s v="CUST770"/>
    <x v="0"/>
    <x v="0"/>
    <n v="32"/>
    <x v="1"/>
    <n v="1"/>
    <n v="50"/>
    <n v="50"/>
    <n v="0.75"/>
    <n v="1"/>
    <n v="0.75"/>
  </r>
  <r>
    <n v="771"/>
    <x v="0"/>
    <n v="12"/>
    <n v="13"/>
    <s v="Wednesday"/>
    <s v="December"/>
    <x v="8"/>
    <s v="CUST771"/>
    <x v="0"/>
    <x v="1"/>
    <n v="24"/>
    <x v="2"/>
    <n v="2"/>
    <n v="25"/>
    <n v="50"/>
    <n v="0.75"/>
    <n v="1"/>
    <n v="0.75"/>
  </r>
  <r>
    <n v="772"/>
    <x v="0"/>
    <n v="7"/>
    <n v="12"/>
    <s v="Wednesday"/>
    <s v="July"/>
    <x v="322"/>
    <s v="CUST772"/>
    <x v="0"/>
    <x v="1"/>
    <n v="26"/>
    <x v="2"/>
    <n v="1"/>
    <n v="30"/>
    <n v="30"/>
    <n v="0.44999999999999996"/>
    <n v="0.6"/>
    <n v="0.44999999999999996"/>
  </r>
  <r>
    <n v="773"/>
    <x v="0"/>
    <n v="7"/>
    <n v="23"/>
    <s v="Sunday"/>
    <s v="July"/>
    <x v="323"/>
    <s v="CUST773"/>
    <x v="0"/>
    <x v="1"/>
    <n v="25"/>
    <x v="2"/>
    <n v="4"/>
    <n v="500"/>
    <n v="2000"/>
    <n v="30"/>
    <n v="40"/>
    <n v="30"/>
  </r>
  <r>
    <n v="774"/>
    <x v="0"/>
    <n v="4"/>
    <n v="12"/>
    <s v="Wednesday"/>
    <s v="April"/>
    <x v="22"/>
    <s v="CUST774"/>
    <x v="1"/>
    <x v="0"/>
    <n v="40"/>
    <x v="1"/>
    <n v="2"/>
    <n v="25"/>
    <n v="50"/>
    <n v="0.75"/>
    <n v="1"/>
    <n v="0.75"/>
  </r>
  <r>
    <n v="775"/>
    <x v="0"/>
    <n v="2"/>
    <n v="8"/>
    <s v="Wednesday"/>
    <s v="February"/>
    <x v="195"/>
    <s v="CUST775"/>
    <x v="1"/>
    <x v="0"/>
    <n v="46"/>
    <x v="2"/>
    <n v="4"/>
    <n v="25"/>
    <n v="100"/>
    <n v="1.5"/>
    <n v="2"/>
    <n v="1.5"/>
  </r>
  <r>
    <n v="776"/>
    <x v="0"/>
    <n v="10"/>
    <n v="31"/>
    <s v="Tuesday"/>
    <s v="October"/>
    <x v="315"/>
    <s v="CUST776"/>
    <x v="0"/>
    <x v="0"/>
    <n v="35"/>
    <x v="1"/>
    <n v="3"/>
    <n v="30"/>
    <n v="90"/>
    <n v="1.3499999999999999"/>
    <n v="1.8"/>
    <n v="1.3499999999999999"/>
  </r>
  <r>
    <n v="777"/>
    <x v="0"/>
    <n v="12"/>
    <n v="20"/>
    <s v="Wednesday"/>
    <s v="December"/>
    <x v="156"/>
    <s v="CUST777"/>
    <x v="0"/>
    <x v="0"/>
    <n v="48"/>
    <x v="2"/>
    <n v="3"/>
    <n v="50"/>
    <n v="150"/>
    <n v="2.25"/>
    <n v="3"/>
    <n v="2.25"/>
  </r>
  <r>
    <n v="778"/>
    <x v="0"/>
    <n v="11"/>
    <n v="18"/>
    <s v="Saturday"/>
    <s v="November"/>
    <x v="51"/>
    <s v="CUST778"/>
    <x v="1"/>
    <x v="0"/>
    <n v="47"/>
    <x v="0"/>
    <n v="4"/>
    <n v="25"/>
    <n v="100"/>
    <n v="1.5"/>
    <n v="2"/>
    <n v="1.5"/>
  </r>
  <r>
    <n v="779"/>
    <x v="0"/>
    <n v="5"/>
    <n v="5"/>
    <s v="Friday"/>
    <s v="May"/>
    <x v="179"/>
    <s v="CUST779"/>
    <x v="1"/>
    <x v="2"/>
    <n v="56"/>
    <x v="2"/>
    <n v="2"/>
    <n v="500"/>
    <n v="1000"/>
    <n v="15"/>
    <n v="20"/>
    <n v="15"/>
  </r>
  <r>
    <n v="780"/>
    <x v="0"/>
    <n v="2"/>
    <n v="22"/>
    <s v="Wednesday"/>
    <s v="February"/>
    <x v="7"/>
    <s v="CUST780"/>
    <x v="0"/>
    <x v="2"/>
    <n v="52"/>
    <x v="2"/>
    <n v="2"/>
    <n v="25"/>
    <n v="50"/>
    <n v="0.75"/>
    <n v="1"/>
    <n v="0.75"/>
  </r>
  <r>
    <n v="781"/>
    <x v="0"/>
    <n v="12"/>
    <n v="23"/>
    <s v="Saturday"/>
    <s v="December"/>
    <x v="204"/>
    <s v="CUST781"/>
    <x v="0"/>
    <x v="0"/>
    <n v="35"/>
    <x v="0"/>
    <n v="1"/>
    <n v="500"/>
    <n v="500"/>
    <n v="7.5"/>
    <n v="10"/>
    <n v="7.5"/>
  </r>
  <r>
    <n v="782"/>
    <x v="0"/>
    <n v="6"/>
    <n v="4"/>
    <s v="Sunday"/>
    <s v="June"/>
    <x v="234"/>
    <s v="CUST782"/>
    <x v="0"/>
    <x v="2"/>
    <n v="59"/>
    <x v="1"/>
    <n v="3"/>
    <n v="300"/>
    <n v="900"/>
    <n v="13.5"/>
    <n v="18"/>
    <n v="13.5"/>
  </r>
  <r>
    <n v="783"/>
    <x v="0"/>
    <n v="12"/>
    <n v="17"/>
    <s v="Sunday"/>
    <s v="December"/>
    <x v="82"/>
    <s v="CUST783"/>
    <x v="1"/>
    <x v="2"/>
    <n v="56"/>
    <x v="1"/>
    <n v="1"/>
    <n v="300"/>
    <n v="300"/>
    <n v="4.5"/>
    <n v="6"/>
    <n v="4.5"/>
  </r>
  <r>
    <n v="784"/>
    <x v="0"/>
    <n v="11"/>
    <n v="4"/>
    <s v="Saturday"/>
    <s v="November"/>
    <x v="324"/>
    <s v="CUST784"/>
    <x v="1"/>
    <x v="0"/>
    <n v="34"/>
    <x v="2"/>
    <n v="1"/>
    <n v="500"/>
    <n v="500"/>
    <n v="7.5"/>
    <n v="10"/>
    <n v="7.5"/>
  </r>
  <r>
    <n v="785"/>
    <x v="0"/>
    <n v="3"/>
    <n v="3"/>
    <s v="Friday"/>
    <s v="March"/>
    <x v="163"/>
    <s v="CUST785"/>
    <x v="1"/>
    <x v="0"/>
    <n v="31"/>
    <x v="0"/>
    <n v="4"/>
    <n v="50"/>
    <n v="200"/>
    <n v="3"/>
    <n v="4"/>
    <n v="3"/>
  </r>
  <r>
    <n v="786"/>
    <x v="0"/>
    <n v="10"/>
    <n v="17"/>
    <s v="Tuesday"/>
    <s v="October"/>
    <x v="222"/>
    <s v="CUST786"/>
    <x v="0"/>
    <x v="0"/>
    <n v="48"/>
    <x v="1"/>
    <n v="4"/>
    <n v="25"/>
    <n v="100"/>
    <n v="1.5"/>
    <n v="2"/>
    <n v="1.5"/>
  </r>
  <r>
    <n v="787"/>
    <x v="0"/>
    <n v="1"/>
    <n v="22"/>
    <s v="Sunday"/>
    <s v="January"/>
    <x v="256"/>
    <s v="CUST787"/>
    <x v="0"/>
    <x v="0"/>
    <n v="41"/>
    <x v="2"/>
    <n v="1"/>
    <n v="25"/>
    <n v="25"/>
    <n v="0.375"/>
    <n v="0.5"/>
    <n v="0.375"/>
  </r>
  <r>
    <n v="788"/>
    <x v="0"/>
    <n v="6"/>
    <n v="27"/>
    <s v="Tuesday"/>
    <s v="June"/>
    <x v="325"/>
    <s v="CUST788"/>
    <x v="1"/>
    <x v="2"/>
    <n v="52"/>
    <x v="0"/>
    <n v="3"/>
    <n v="300"/>
    <n v="900"/>
    <n v="13.5"/>
    <n v="18"/>
    <n v="13.5"/>
  </r>
  <r>
    <n v="789"/>
    <x v="0"/>
    <n v="9"/>
    <n v="30"/>
    <s v="Saturday"/>
    <s v="September"/>
    <x v="148"/>
    <s v="CUST789"/>
    <x v="1"/>
    <x v="2"/>
    <n v="61"/>
    <x v="1"/>
    <n v="4"/>
    <n v="500"/>
    <n v="2000"/>
    <n v="30"/>
    <n v="40"/>
    <n v="30"/>
  </r>
  <r>
    <n v="790"/>
    <x v="0"/>
    <n v="8"/>
    <n v="8"/>
    <s v="Tuesday"/>
    <s v="August"/>
    <x v="102"/>
    <s v="CUST790"/>
    <x v="0"/>
    <x v="2"/>
    <n v="62"/>
    <x v="1"/>
    <n v="1"/>
    <n v="25"/>
    <n v="25"/>
    <n v="0.375"/>
    <n v="0.5"/>
    <n v="0.375"/>
  </r>
  <r>
    <n v="791"/>
    <x v="0"/>
    <n v="12"/>
    <n v="5"/>
    <s v="Tuesday"/>
    <s v="December"/>
    <x v="59"/>
    <s v="CUST791"/>
    <x v="1"/>
    <x v="2"/>
    <n v="51"/>
    <x v="0"/>
    <n v="1"/>
    <n v="25"/>
    <n v="25"/>
    <n v="0.375"/>
    <n v="0.5"/>
    <n v="0.375"/>
  </r>
  <r>
    <n v="792"/>
    <x v="0"/>
    <n v="7"/>
    <n v="9"/>
    <s v="Sunday"/>
    <s v="July"/>
    <x v="67"/>
    <s v="CUST792"/>
    <x v="1"/>
    <x v="1"/>
    <n v="20"/>
    <x v="0"/>
    <n v="1"/>
    <n v="50"/>
    <n v="50"/>
    <n v="0.75"/>
    <n v="1"/>
    <n v="0.75"/>
  </r>
  <r>
    <n v="793"/>
    <x v="0"/>
    <n v="2"/>
    <n v="5"/>
    <s v="Sunday"/>
    <s v="February"/>
    <x v="57"/>
    <s v="CUST793"/>
    <x v="0"/>
    <x v="2"/>
    <n v="54"/>
    <x v="0"/>
    <n v="1"/>
    <n v="30"/>
    <n v="30"/>
    <n v="0.44999999999999996"/>
    <n v="0.6"/>
    <n v="0.44999999999999996"/>
  </r>
  <r>
    <n v="794"/>
    <x v="0"/>
    <n v="9"/>
    <n v="17"/>
    <s v="Sunday"/>
    <s v="September"/>
    <x v="129"/>
    <s v="CUST794"/>
    <x v="1"/>
    <x v="2"/>
    <n v="60"/>
    <x v="0"/>
    <n v="1"/>
    <n v="300"/>
    <n v="300"/>
    <n v="4.5"/>
    <n v="6"/>
    <n v="4.5"/>
  </r>
  <r>
    <n v="795"/>
    <x v="0"/>
    <n v="11"/>
    <n v="28"/>
    <s v="Tuesday"/>
    <s v="November"/>
    <x v="73"/>
    <s v="CUST795"/>
    <x v="0"/>
    <x v="2"/>
    <n v="57"/>
    <x v="2"/>
    <n v="1"/>
    <n v="300"/>
    <n v="300"/>
    <n v="4.5"/>
    <n v="6"/>
    <n v="4.5"/>
  </r>
  <r>
    <n v="796"/>
    <x v="0"/>
    <n v="6"/>
    <n v="24"/>
    <s v="Saturday"/>
    <s v="June"/>
    <x v="33"/>
    <s v="CUST796"/>
    <x v="0"/>
    <x v="0"/>
    <n v="43"/>
    <x v="0"/>
    <n v="4"/>
    <n v="30"/>
    <n v="120"/>
    <n v="1.7999999999999998"/>
    <n v="2.4"/>
    <n v="1.7999999999999998"/>
  </r>
  <r>
    <n v="797"/>
    <x v="0"/>
    <n v="1"/>
    <n v="7"/>
    <s v="Saturday"/>
    <s v="January"/>
    <x v="326"/>
    <s v="CUST797"/>
    <x v="0"/>
    <x v="0"/>
    <n v="40"/>
    <x v="1"/>
    <n v="3"/>
    <n v="25"/>
    <n v="75"/>
    <n v="1.125"/>
    <n v="1.5"/>
    <n v="1.125"/>
  </r>
  <r>
    <n v="798"/>
    <x v="0"/>
    <n v="8"/>
    <n v="4"/>
    <s v="Friday"/>
    <s v="August"/>
    <x v="279"/>
    <s v="CUST798"/>
    <x v="0"/>
    <x v="2"/>
    <n v="61"/>
    <x v="1"/>
    <n v="1"/>
    <n v="50"/>
    <n v="50"/>
    <n v="0.75"/>
    <n v="1"/>
    <n v="0.75"/>
  </r>
  <r>
    <n v="799"/>
    <x v="0"/>
    <n v="9"/>
    <n v="8"/>
    <s v="Friday"/>
    <s v="September"/>
    <x v="140"/>
    <s v="CUST799"/>
    <x v="0"/>
    <x v="2"/>
    <n v="56"/>
    <x v="2"/>
    <n v="2"/>
    <n v="50"/>
    <n v="100"/>
    <n v="1.5"/>
    <n v="2"/>
    <n v="1.5"/>
  </r>
  <r>
    <n v="800"/>
    <x v="0"/>
    <n v="2"/>
    <n v="24"/>
    <s v="Friday"/>
    <s v="February"/>
    <x v="130"/>
    <s v="CUST800"/>
    <x v="0"/>
    <x v="0"/>
    <n v="32"/>
    <x v="1"/>
    <n v="4"/>
    <n v="300"/>
    <n v="1200"/>
    <n v="18"/>
    <n v="24"/>
    <n v="18"/>
  </r>
  <r>
    <n v="801"/>
    <x v="0"/>
    <n v="8"/>
    <n v="10"/>
    <s v="Thursday"/>
    <s v="August"/>
    <x v="327"/>
    <s v="CUST801"/>
    <x v="0"/>
    <x v="1"/>
    <n v="21"/>
    <x v="1"/>
    <n v="4"/>
    <n v="50"/>
    <n v="200"/>
    <n v="3"/>
    <n v="4"/>
    <n v="3"/>
  </r>
  <r>
    <n v="802"/>
    <x v="0"/>
    <n v="7"/>
    <n v="5"/>
    <s v="Wednesday"/>
    <s v="July"/>
    <x v="53"/>
    <s v="CUST802"/>
    <x v="1"/>
    <x v="0"/>
    <n v="46"/>
    <x v="0"/>
    <n v="1"/>
    <n v="30"/>
    <n v="30"/>
    <n v="0.44999999999999996"/>
    <n v="0.6"/>
    <n v="0.44999999999999996"/>
  </r>
  <r>
    <n v="803"/>
    <x v="0"/>
    <n v="11"/>
    <n v="22"/>
    <s v="Wednesday"/>
    <s v="November"/>
    <x v="64"/>
    <s v="CUST803"/>
    <x v="0"/>
    <x v="0"/>
    <n v="39"/>
    <x v="1"/>
    <n v="4"/>
    <n v="25"/>
    <n v="100"/>
    <n v="1.5"/>
    <n v="2"/>
    <n v="1.5"/>
  </r>
  <r>
    <n v="804"/>
    <x v="0"/>
    <n v="8"/>
    <n v="24"/>
    <s v="Thursday"/>
    <s v="August"/>
    <x v="44"/>
    <s v="CUST804"/>
    <x v="0"/>
    <x v="0"/>
    <n v="42"/>
    <x v="2"/>
    <n v="1"/>
    <n v="30"/>
    <n v="30"/>
    <n v="0.44999999999999996"/>
    <n v="0.6"/>
    <n v="0.44999999999999996"/>
  </r>
  <r>
    <n v="805"/>
    <x v="0"/>
    <n v="12"/>
    <n v="29"/>
    <s v="Friday"/>
    <s v="December"/>
    <x v="167"/>
    <s v="CUST805"/>
    <x v="1"/>
    <x v="0"/>
    <n v="30"/>
    <x v="0"/>
    <n v="3"/>
    <n v="500"/>
    <n v="1500"/>
    <n v="22.5"/>
    <n v="30"/>
    <n v="22.5"/>
  </r>
  <r>
    <n v="806"/>
    <x v="0"/>
    <n v="3"/>
    <n v="20"/>
    <s v="Monday"/>
    <s v="March"/>
    <x v="111"/>
    <s v="CUST806"/>
    <x v="1"/>
    <x v="0"/>
    <n v="35"/>
    <x v="0"/>
    <n v="3"/>
    <n v="300"/>
    <n v="900"/>
    <n v="13.5"/>
    <n v="18"/>
    <n v="13.5"/>
  </r>
  <r>
    <n v="807"/>
    <x v="0"/>
    <n v="8"/>
    <n v="11"/>
    <s v="Friday"/>
    <s v="August"/>
    <x v="124"/>
    <s v="CUST807"/>
    <x v="1"/>
    <x v="2"/>
    <n v="50"/>
    <x v="2"/>
    <n v="4"/>
    <n v="50"/>
    <n v="200"/>
    <n v="3"/>
    <n v="4"/>
    <n v="3"/>
  </r>
  <r>
    <n v="808"/>
    <x v="0"/>
    <n v="4"/>
    <n v="1"/>
    <s v="Saturday"/>
    <s v="April"/>
    <x v="258"/>
    <s v="CUST808"/>
    <x v="0"/>
    <x v="0"/>
    <n v="33"/>
    <x v="0"/>
    <n v="4"/>
    <n v="500"/>
    <n v="2000"/>
    <n v="30"/>
    <n v="40"/>
    <n v="30"/>
  </r>
  <r>
    <n v="809"/>
    <x v="0"/>
    <n v="9"/>
    <n v="25"/>
    <s v="Monday"/>
    <s v="September"/>
    <x v="223"/>
    <s v="CUST809"/>
    <x v="1"/>
    <x v="2"/>
    <n v="62"/>
    <x v="0"/>
    <n v="2"/>
    <n v="50"/>
    <n v="100"/>
    <n v="1.5"/>
    <n v="2"/>
    <n v="1.5"/>
  </r>
  <r>
    <n v="810"/>
    <x v="0"/>
    <n v="11"/>
    <n v="30"/>
    <s v="Thursday"/>
    <s v="November"/>
    <x v="198"/>
    <s v="CUST810"/>
    <x v="0"/>
    <x v="2"/>
    <n v="59"/>
    <x v="2"/>
    <n v="4"/>
    <n v="25"/>
    <n v="100"/>
    <n v="1.5"/>
    <n v="2"/>
    <n v="1.5"/>
  </r>
  <r>
    <n v="811"/>
    <x v="0"/>
    <n v="5"/>
    <n v="19"/>
    <s v="Friday"/>
    <s v="May"/>
    <x v="79"/>
    <s v="CUST811"/>
    <x v="0"/>
    <x v="2"/>
    <n v="61"/>
    <x v="0"/>
    <n v="2"/>
    <n v="25"/>
    <n v="50"/>
    <n v="0.75"/>
    <n v="1"/>
    <n v="0.75"/>
  </r>
  <r>
    <n v="812"/>
    <x v="0"/>
    <n v="11"/>
    <n v="12"/>
    <s v="Sunday"/>
    <s v="November"/>
    <x v="281"/>
    <s v="CUST812"/>
    <x v="0"/>
    <x v="1"/>
    <n v="19"/>
    <x v="2"/>
    <n v="3"/>
    <n v="25"/>
    <n v="75"/>
    <n v="1.125"/>
    <n v="1.5"/>
    <n v="1.125"/>
  </r>
  <r>
    <n v="813"/>
    <x v="0"/>
    <n v="10"/>
    <n v="3"/>
    <s v="Tuesday"/>
    <s v="October"/>
    <x v="99"/>
    <s v="CUST813"/>
    <x v="0"/>
    <x v="2"/>
    <n v="52"/>
    <x v="2"/>
    <n v="3"/>
    <n v="50"/>
    <n v="150"/>
    <n v="2.25"/>
    <n v="3"/>
    <n v="2.25"/>
  </r>
  <r>
    <n v="814"/>
    <x v="0"/>
    <n v="9"/>
    <n v="5"/>
    <s v="Tuesday"/>
    <s v="September"/>
    <x v="328"/>
    <s v="CUST814"/>
    <x v="1"/>
    <x v="2"/>
    <n v="59"/>
    <x v="1"/>
    <n v="1"/>
    <n v="500"/>
    <n v="500"/>
    <n v="7.5"/>
    <n v="10"/>
    <n v="7.5"/>
  </r>
  <r>
    <n v="815"/>
    <x v="0"/>
    <n v="8"/>
    <n v="27"/>
    <s v="Sunday"/>
    <s v="August"/>
    <x v="286"/>
    <s v="CUST815"/>
    <x v="1"/>
    <x v="2"/>
    <n v="51"/>
    <x v="1"/>
    <n v="3"/>
    <n v="25"/>
    <n v="75"/>
    <n v="1.125"/>
    <n v="1.5"/>
    <n v="1.125"/>
  </r>
  <r>
    <n v="816"/>
    <x v="0"/>
    <n v="8"/>
    <n v="12"/>
    <s v="Saturday"/>
    <s v="August"/>
    <x v="269"/>
    <s v="CUST816"/>
    <x v="0"/>
    <x v="0"/>
    <n v="47"/>
    <x v="0"/>
    <n v="2"/>
    <n v="500"/>
    <n v="1000"/>
    <n v="15"/>
    <n v="20"/>
    <n v="15"/>
  </r>
  <r>
    <n v="817"/>
    <x v="0"/>
    <n v="10"/>
    <n v="31"/>
    <s v="Tuesday"/>
    <s v="October"/>
    <x v="315"/>
    <s v="CUST817"/>
    <x v="0"/>
    <x v="0"/>
    <n v="30"/>
    <x v="0"/>
    <n v="4"/>
    <n v="50"/>
    <n v="200"/>
    <n v="3"/>
    <n v="4"/>
    <n v="3"/>
  </r>
  <r>
    <n v="818"/>
    <x v="0"/>
    <n v="5"/>
    <n v="18"/>
    <s v="Thursday"/>
    <s v="May"/>
    <x v="88"/>
    <s v="CUST818"/>
    <x v="0"/>
    <x v="0"/>
    <n v="30"/>
    <x v="2"/>
    <n v="1"/>
    <n v="500"/>
    <n v="500"/>
    <n v="7.5"/>
    <n v="10"/>
    <n v="7.5"/>
  </r>
  <r>
    <n v="819"/>
    <x v="0"/>
    <n v="6"/>
    <n v="15"/>
    <s v="Thursday"/>
    <s v="June"/>
    <x v="139"/>
    <s v="CUST819"/>
    <x v="1"/>
    <x v="0"/>
    <n v="35"/>
    <x v="0"/>
    <n v="2"/>
    <n v="50"/>
    <n v="100"/>
    <n v="1.5"/>
    <n v="2"/>
    <n v="1.5"/>
  </r>
  <r>
    <n v="820"/>
    <x v="0"/>
    <n v="5"/>
    <n v="6"/>
    <s v="Saturday"/>
    <s v="May"/>
    <x v="4"/>
    <s v="CUST820"/>
    <x v="0"/>
    <x v="0"/>
    <n v="49"/>
    <x v="2"/>
    <n v="4"/>
    <n v="50"/>
    <n v="200"/>
    <n v="3"/>
    <n v="4"/>
    <n v="3"/>
  </r>
  <r>
    <n v="821"/>
    <x v="0"/>
    <n v="2"/>
    <n v="14"/>
    <s v="Tuesday"/>
    <s v="February"/>
    <x v="10"/>
    <s v="CUST821"/>
    <x v="0"/>
    <x v="0"/>
    <n v="49"/>
    <x v="2"/>
    <n v="1"/>
    <n v="300"/>
    <n v="300"/>
    <n v="4.5"/>
    <n v="6"/>
    <n v="4.5"/>
  </r>
  <r>
    <n v="822"/>
    <x v="0"/>
    <n v="5"/>
    <n v="23"/>
    <s v="Tuesday"/>
    <s v="May"/>
    <x v="29"/>
    <s v="CUST822"/>
    <x v="1"/>
    <x v="2"/>
    <n v="52"/>
    <x v="0"/>
    <n v="3"/>
    <n v="50"/>
    <n v="150"/>
    <n v="2.25"/>
    <n v="3"/>
    <n v="2.25"/>
  </r>
  <r>
    <n v="823"/>
    <x v="0"/>
    <n v="8"/>
    <n v="19"/>
    <s v="Saturday"/>
    <s v="August"/>
    <x v="304"/>
    <s v="CUST823"/>
    <x v="1"/>
    <x v="2"/>
    <n v="56"/>
    <x v="2"/>
    <n v="2"/>
    <n v="50"/>
    <n v="100"/>
    <n v="1.5"/>
    <n v="2"/>
    <n v="1.5"/>
  </r>
  <r>
    <n v="824"/>
    <x v="0"/>
    <n v="5"/>
    <n v="5"/>
    <s v="Friday"/>
    <s v="May"/>
    <x v="179"/>
    <s v="CUST824"/>
    <x v="0"/>
    <x v="2"/>
    <n v="63"/>
    <x v="1"/>
    <n v="4"/>
    <n v="30"/>
    <n v="120"/>
    <n v="1.7999999999999998"/>
    <n v="2.4"/>
    <n v="1.7999999999999998"/>
  </r>
  <r>
    <n v="825"/>
    <x v="0"/>
    <n v="8"/>
    <n v="26"/>
    <s v="Saturday"/>
    <s v="August"/>
    <x v="300"/>
    <s v="CUST825"/>
    <x v="1"/>
    <x v="0"/>
    <n v="46"/>
    <x v="0"/>
    <n v="1"/>
    <n v="25"/>
    <n v="25"/>
    <n v="0.375"/>
    <n v="0.5"/>
    <n v="0.375"/>
  </r>
  <r>
    <n v="826"/>
    <x v="0"/>
    <n v="10"/>
    <n v="19"/>
    <s v="Thursday"/>
    <s v="October"/>
    <x v="218"/>
    <s v="CUST826"/>
    <x v="1"/>
    <x v="0"/>
    <n v="46"/>
    <x v="1"/>
    <n v="1"/>
    <n v="300"/>
    <n v="300"/>
    <n v="4.5"/>
    <n v="6"/>
    <n v="4.5"/>
  </r>
  <r>
    <n v="827"/>
    <x v="0"/>
    <n v="11"/>
    <n v="9"/>
    <s v="Thursday"/>
    <s v="November"/>
    <x v="289"/>
    <s v="CUST827"/>
    <x v="0"/>
    <x v="2"/>
    <n v="61"/>
    <x v="0"/>
    <n v="3"/>
    <n v="300"/>
    <n v="900"/>
    <n v="13.5"/>
    <n v="18"/>
    <n v="13.5"/>
  </r>
  <r>
    <n v="828"/>
    <x v="0"/>
    <n v="12"/>
    <n v="9"/>
    <s v="Saturday"/>
    <s v="December"/>
    <x v="174"/>
    <s v="CUST828"/>
    <x v="1"/>
    <x v="0"/>
    <n v="33"/>
    <x v="2"/>
    <n v="4"/>
    <n v="300"/>
    <n v="1200"/>
    <n v="18"/>
    <n v="24"/>
    <n v="18"/>
  </r>
  <r>
    <n v="829"/>
    <x v="0"/>
    <n v="7"/>
    <n v="14"/>
    <s v="Friday"/>
    <s v="July"/>
    <x v="37"/>
    <s v="CUST829"/>
    <x v="0"/>
    <x v="2"/>
    <n v="61"/>
    <x v="0"/>
    <n v="3"/>
    <n v="30"/>
    <n v="90"/>
    <n v="1.3499999999999999"/>
    <n v="1.8"/>
    <n v="1.3499999999999999"/>
  </r>
  <r>
    <n v="830"/>
    <x v="0"/>
    <n v="6"/>
    <n v="22"/>
    <s v="Thursday"/>
    <s v="June"/>
    <x v="36"/>
    <s v="CUST830"/>
    <x v="1"/>
    <x v="2"/>
    <n v="64"/>
    <x v="1"/>
    <n v="3"/>
    <n v="50"/>
    <n v="150"/>
    <n v="2.25"/>
    <n v="3"/>
    <n v="2.25"/>
  </r>
  <r>
    <n v="831"/>
    <x v="0"/>
    <n v="1"/>
    <n v="15"/>
    <s v="Sunday"/>
    <s v="January"/>
    <x v="267"/>
    <s v="CUST831"/>
    <x v="0"/>
    <x v="1"/>
    <n v="27"/>
    <x v="2"/>
    <n v="4"/>
    <n v="25"/>
    <n v="100"/>
    <n v="1.5"/>
    <n v="2"/>
    <n v="1.5"/>
  </r>
  <r>
    <n v="832"/>
    <x v="0"/>
    <n v="9"/>
    <n v="11"/>
    <s v="Monday"/>
    <s v="September"/>
    <x v="296"/>
    <s v="CUST832"/>
    <x v="0"/>
    <x v="0"/>
    <n v="47"/>
    <x v="0"/>
    <n v="4"/>
    <n v="500"/>
    <n v="2000"/>
    <n v="30"/>
    <n v="40"/>
    <n v="30"/>
  </r>
  <r>
    <n v="833"/>
    <x v="0"/>
    <n v="6"/>
    <n v="16"/>
    <s v="Friday"/>
    <s v="June"/>
    <x v="83"/>
    <s v="CUST833"/>
    <x v="0"/>
    <x v="0"/>
    <n v="42"/>
    <x v="0"/>
    <n v="4"/>
    <n v="50"/>
    <n v="200"/>
    <n v="3"/>
    <n v="4"/>
    <n v="3"/>
  </r>
  <r>
    <n v="834"/>
    <x v="0"/>
    <n v="4"/>
    <n v="4"/>
    <s v="Tuesday"/>
    <s v="April"/>
    <x v="194"/>
    <s v="CUST834"/>
    <x v="1"/>
    <x v="2"/>
    <n v="56"/>
    <x v="0"/>
    <n v="2"/>
    <n v="30"/>
    <n v="60"/>
    <n v="0.89999999999999991"/>
    <n v="1.2"/>
    <n v="0.89999999999999991"/>
  </r>
  <r>
    <n v="835"/>
    <x v="0"/>
    <n v="9"/>
    <n v="7"/>
    <s v="Thursday"/>
    <s v="September"/>
    <x v="206"/>
    <s v="CUST835"/>
    <x v="0"/>
    <x v="0"/>
    <n v="37"/>
    <x v="1"/>
    <n v="4"/>
    <n v="50"/>
    <n v="200"/>
    <n v="3"/>
    <n v="4"/>
    <n v="3"/>
  </r>
  <r>
    <n v="836"/>
    <x v="0"/>
    <n v="4"/>
    <n v="19"/>
    <s v="Wednesday"/>
    <s v="April"/>
    <x v="90"/>
    <s v="CUST836"/>
    <x v="1"/>
    <x v="1"/>
    <n v="22"/>
    <x v="1"/>
    <n v="1"/>
    <n v="50"/>
    <n v="50"/>
    <n v="0.75"/>
    <n v="1"/>
    <n v="0.75"/>
  </r>
  <r>
    <n v="837"/>
    <x v="0"/>
    <n v="7"/>
    <n v="1"/>
    <s v="Saturday"/>
    <s v="July"/>
    <x v="68"/>
    <s v="CUST837"/>
    <x v="0"/>
    <x v="1"/>
    <n v="18"/>
    <x v="0"/>
    <n v="3"/>
    <n v="30"/>
    <n v="90"/>
    <n v="1.3499999999999999"/>
    <n v="1.8"/>
    <n v="1.3499999999999999"/>
  </r>
  <r>
    <n v="838"/>
    <x v="0"/>
    <n v="5"/>
    <n v="13"/>
    <s v="Saturday"/>
    <s v="May"/>
    <x v="305"/>
    <s v="CUST838"/>
    <x v="0"/>
    <x v="0"/>
    <n v="47"/>
    <x v="2"/>
    <n v="2"/>
    <n v="300"/>
    <n v="600"/>
    <n v="9"/>
    <n v="12"/>
    <n v="9"/>
  </r>
  <r>
    <n v="839"/>
    <x v="0"/>
    <n v="6"/>
    <n v="24"/>
    <s v="Saturday"/>
    <s v="June"/>
    <x v="33"/>
    <s v="CUST839"/>
    <x v="1"/>
    <x v="1"/>
    <n v="20"/>
    <x v="2"/>
    <n v="4"/>
    <n v="300"/>
    <n v="1200"/>
    <n v="18"/>
    <n v="24"/>
    <n v="18"/>
  </r>
  <r>
    <n v="840"/>
    <x v="0"/>
    <n v="5"/>
    <n v="24"/>
    <s v="Wednesday"/>
    <s v="May"/>
    <x v="329"/>
    <s v="CUST840"/>
    <x v="0"/>
    <x v="2"/>
    <n v="62"/>
    <x v="1"/>
    <n v="2"/>
    <n v="25"/>
    <n v="50"/>
    <n v="0.75"/>
    <n v="1"/>
    <n v="0.75"/>
  </r>
  <r>
    <n v="841"/>
    <x v="0"/>
    <n v="11"/>
    <n v="2"/>
    <s v="Thursday"/>
    <s v="November"/>
    <x v="113"/>
    <s v="CUST841"/>
    <x v="0"/>
    <x v="0"/>
    <n v="31"/>
    <x v="2"/>
    <n v="4"/>
    <n v="25"/>
    <n v="100"/>
    <n v="1.5"/>
    <n v="2"/>
    <n v="1.5"/>
  </r>
  <r>
    <n v="842"/>
    <x v="0"/>
    <n v="12"/>
    <n v="26"/>
    <s v="Tuesday"/>
    <s v="December"/>
    <x v="24"/>
    <s v="CUST842"/>
    <x v="1"/>
    <x v="0"/>
    <n v="47"/>
    <x v="1"/>
    <n v="2"/>
    <n v="300"/>
    <n v="600"/>
    <n v="9"/>
    <n v="12"/>
    <n v="9"/>
  </r>
  <r>
    <n v="843"/>
    <x v="0"/>
    <n v="5"/>
    <n v="22"/>
    <s v="Monday"/>
    <s v="May"/>
    <x v="247"/>
    <s v="CUST843"/>
    <x v="0"/>
    <x v="1"/>
    <n v="21"/>
    <x v="0"/>
    <n v="3"/>
    <n v="500"/>
    <n v="1500"/>
    <n v="22.5"/>
    <n v="30"/>
    <n v="22.5"/>
  </r>
  <r>
    <n v="844"/>
    <x v="0"/>
    <n v="10"/>
    <n v="12"/>
    <s v="Thursday"/>
    <s v="October"/>
    <x v="205"/>
    <s v="CUST844"/>
    <x v="0"/>
    <x v="0"/>
    <n v="35"/>
    <x v="1"/>
    <n v="3"/>
    <n v="50"/>
    <n v="150"/>
    <n v="2.25"/>
    <n v="3"/>
    <n v="2.25"/>
  </r>
  <r>
    <n v="845"/>
    <x v="0"/>
    <n v="1"/>
    <n v="6"/>
    <s v="Friday"/>
    <s v="January"/>
    <x v="121"/>
    <s v="CUST845"/>
    <x v="0"/>
    <x v="2"/>
    <n v="54"/>
    <x v="1"/>
    <n v="1"/>
    <n v="500"/>
    <n v="500"/>
    <n v="7.5"/>
    <n v="10"/>
    <n v="7.5"/>
  </r>
  <r>
    <n v="846"/>
    <x v="0"/>
    <n v="9"/>
    <n v="22"/>
    <s v="Friday"/>
    <s v="September"/>
    <x v="161"/>
    <s v="CUST846"/>
    <x v="0"/>
    <x v="0"/>
    <n v="42"/>
    <x v="0"/>
    <n v="1"/>
    <n v="50"/>
    <n v="50"/>
    <n v="0.75"/>
    <n v="1"/>
    <n v="0.75"/>
  </r>
  <r>
    <n v="847"/>
    <x v="0"/>
    <n v="4"/>
    <n v="8"/>
    <s v="Saturday"/>
    <s v="April"/>
    <x v="181"/>
    <s v="CUST847"/>
    <x v="1"/>
    <x v="1"/>
    <n v="18"/>
    <x v="2"/>
    <n v="4"/>
    <n v="300"/>
    <n v="1200"/>
    <n v="18"/>
    <n v="24"/>
    <n v="18"/>
  </r>
  <r>
    <n v="848"/>
    <x v="0"/>
    <n v="2"/>
    <n v="13"/>
    <s v="Monday"/>
    <s v="February"/>
    <x v="146"/>
    <s v="CUST848"/>
    <x v="1"/>
    <x v="2"/>
    <n v="63"/>
    <x v="1"/>
    <n v="3"/>
    <n v="25"/>
    <n v="75"/>
    <n v="1.125"/>
    <n v="1.5"/>
    <n v="1.125"/>
  </r>
  <r>
    <n v="849"/>
    <x v="0"/>
    <n v="5"/>
    <n v="4"/>
    <s v="Thursday"/>
    <s v="May"/>
    <x v="145"/>
    <s v="CUST849"/>
    <x v="0"/>
    <x v="0"/>
    <n v="32"/>
    <x v="1"/>
    <n v="2"/>
    <n v="25"/>
    <n v="50"/>
    <n v="0.75"/>
    <n v="1"/>
    <n v="0.75"/>
  </r>
  <r>
    <n v="850"/>
    <x v="0"/>
    <n v="7"/>
    <n v="28"/>
    <s v="Friday"/>
    <s v="July"/>
    <x v="180"/>
    <s v="CUST850"/>
    <x v="1"/>
    <x v="1"/>
    <n v="26"/>
    <x v="0"/>
    <n v="2"/>
    <n v="500"/>
    <n v="1000"/>
    <n v="15"/>
    <n v="20"/>
    <n v="15"/>
  </r>
  <r>
    <n v="851"/>
    <x v="0"/>
    <n v="9"/>
    <n v="8"/>
    <s v="Friday"/>
    <s v="September"/>
    <x v="140"/>
    <s v="CUST851"/>
    <x v="0"/>
    <x v="0"/>
    <n v="32"/>
    <x v="2"/>
    <n v="2"/>
    <n v="25"/>
    <n v="50"/>
    <n v="0.75"/>
    <n v="1"/>
    <n v="0.75"/>
  </r>
  <r>
    <n v="852"/>
    <x v="0"/>
    <n v="10"/>
    <n v="12"/>
    <s v="Thursday"/>
    <s v="October"/>
    <x v="205"/>
    <s v="CUST852"/>
    <x v="1"/>
    <x v="0"/>
    <n v="41"/>
    <x v="1"/>
    <n v="1"/>
    <n v="300"/>
    <n v="300"/>
    <n v="4.5"/>
    <n v="6"/>
    <n v="4.5"/>
  </r>
  <r>
    <n v="853"/>
    <x v="0"/>
    <n v="5"/>
    <n v="4"/>
    <s v="Thursday"/>
    <s v="May"/>
    <x v="145"/>
    <s v="CUST853"/>
    <x v="0"/>
    <x v="1"/>
    <n v="21"/>
    <x v="0"/>
    <n v="2"/>
    <n v="500"/>
    <n v="1000"/>
    <n v="15"/>
    <n v="20"/>
    <n v="15"/>
  </r>
  <r>
    <n v="854"/>
    <x v="0"/>
    <n v="12"/>
    <n v="20"/>
    <s v="Wednesday"/>
    <s v="December"/>
    <x v="156"/>
    <s v="CUST854"/>
    <x v="0"/>
    <x v="1"/>
    <n v="29"/>
    <x v="1"/>
    <n v="1"/>
    <n v="50"/>
    <n v="50"/>
    <n v="0.75"/>
    <n v="1"/>
    <n v="0.75"/>
  </r>
  <r>
    <n v="855"/>
    <x v="0"/>
    <n v="9"/>
    <n v="1"/>
    <s v="Friday"/>
    <s v="September"/>
    <x v="152"/>
    <s v="CUST855"/>
    <x v="0"/>
    <x v="2"/>
    <n v="54"/>
    <x v="0"/>
    <n v="1"/>
    <n v="25"/>
    <n v="25"/>
    <n v="0.375"/>
    <n v="0.5"/>
    <n v="0.375"/>
  </r>
  <r>
    <n v="856"/>
    <x v="0"/>
    <n v="11"/>
    <n v="27"/>
    <s v="Monday"/>
    <s v="November"/>
    <x v="188"/>
    <s v="CUST856"/>
    <x v="0"/>
    <x v="2"/>
    <n v="54"/>
    <x v="2"/>
    <n v="4"/>
    <n v="30"/>
    <n v="120"/>
    <n v="1.7999999999999998"/>
    <n v="2.4"/>
    <n v="1.7999999999999998"/>
  </r>
  <r>
    <n v="857"/>
    <x v="0"/>
    <n v="12"/>
    <n v="31"/>
    <s v="Sunday"/>
    <s v="December"/>
    <x v="330"/>
    <s v="CUST857"/>
    <x v="0"/>
    <x v="2"/>
    <n v="60"/>
    <x v="2"/>
    <n v="2"/>
    <n v="25"/>
    <n v="50"/>
    <n v="0.75"/>
    <n v="1"/>
    <n v="0.75"/>
  </r>
  <r>
    <n v="858"/>
    <x v="0"/>
    <n v="9"/>
    <n v="9"/>
    <s v="Saturday"/>
    <s v="September"/>
    <x v="331"/>
    <s v="CUST858"/>
    <x v="0"/>
    <x v="1"/>
    <n v="23"/>
    <x v="2"/>
    <n v="2"/>
    <n v="50"/>
    <n v="100"/>
    <n v="1.5"/>
    <n v="2"/>
    <n v="1.5"/>
  </r>
  <r>
    <n v="859"/>
    <x v="0"/>
    <n v="8"/>
    <n v="18"/>
    <s v="Friday"/>
    <s v="August"/>
    <x v="27"/>
    <s v="CUST859"/>
    <x v="1"/>
    <x v="2"/>
    <n v="56"/>
    <x v="2"/>
    <n v="3"/>
    <n v="500"/>
    <n v="1500"/>
    <n v="22.5"/>
    <n v="30"/>
    <n v="22.5"/>
  </r>
  <r>
    <n v="860"/>
    <x v="0"/>
    <n v="1"/>
    <n v="9"/>
    <s v="Monday"/>
    <s v="January"/>
    <x v="332"/>
    <s v="CUST860"/>
    <x v="0"/>
    <x v="2"/>
    <n v="63"/>
    <x v="1"/>
    <n v="4"/>
    <n v="50"/>
    <n v="200"/>
    <n v="3"/>
    <n v="4"/>
    <n v="3"/>
  </r>
  <r>
    <n v="861"/>
    <x v="0"/>
    <n v="2"/>
    <n v="17"/>
    <s v="Friday"/>
    <s v="February"/>
    <x v="15"/>
    <s v="CUST861"/>
    <x v="1"/>
    <x v="0"/>
    <n v="41"/>
    <x v="1"/>
    <n v="3"/>
    <n v="30"/>
    <n v="90"/>
    <n v="1.3499999999999999"/>
    <n v="1.8"/>
    <n v="1.3499999999999999"/>
  </r>
  <r>
    <n v="862"/>
    <x v="0"/>
    <n v="5"/>
    <n v="31"/>
    <s v="Wednesday"/>
    <s v="May"/>
    <x v="50"/>
    <s v="CUST862"/>
    <x v="0"/>
    <x v="1"/>
    <n v="28"/>
    <x v="2"/>
    <n v="4"/>
    <n v="300"/>
    <n v="1200"/>
    <n v="18"/>
    <n v="24"/>
    <n v="18"/>
  </r>
  <r>
    <n v="863"/>
    <x v="0"/>
    <n v="4"/>
    <n v="24"/>
    <s v="Monday"/>
    <s v="April"/>
    <x v="262"/>
    <s v="CUST863"/>
    <x v="1"/>
    <x v="0"/>
    <n v="30"/>
    <x v="2"/>
    <n v="2"/>
    <n v="25"/>
    <n v="50"/>
    <n v="0.75"/>
    <n v="1"/>
    <n v="0.75"/>
  </r>
  <r>
    <n v="864"/>
    <x v="0"/>
    <n v="7"/>
    <n v="27"/>
    <s v="Thursday"/>
    <s v="July"/>
    <x v="282"/>
    <s v="CUST864"/>
    <x v="1"/>
    <x v="2"/>
    <n v="51"/>
    <x v="2"/>
    <n v="1"/>
    <n v="500"/>
    <n v="500"/>
    <n v="7.5"/>
    <n v="10"/>
    <n v="7.5"/>
  </r>
  <r>
    <n v="865"/>
    <x v="0"/>
    <n v="12"/>
    <n v="21"/>
    <s v="Thursday"/>
    <s v="December"/>
    <x v="333"/>
    <s v="CUST865"/>
    <x v="1"/>
    <x v="0"/>
    <n v="42"/>
    <x v="1"/>
    <n v="1"/>
    <n v="300"/>
    <n v="300"/>
    <n v="4.5"/>
    <n v="6"/>
    <n v="4.5"/>
  </r>
  <r>
    <n v="866"/>
    <x v="0"/>
    <n v="5"/>
    <n v="5"/>
    <s v="Friday"/>
    <s v="May"/>
    <x v="179"/>
    <s v="CUST866"/>
    <x v="0"/>
    <x v="1"/>
    <n v="24"/>
    <x v="2"/>
    <n v="1"/>
    <n v="50"/>
    <n v="50"/>
    <n v="0.75"/>
    <n v="1"/>
    <n v="0.75"/>
  </r>
  <r>
    <n v="867"/>
    <x v="0"/>
    <n v="6"/>
    <n v="6"/>
    <s v="Tuesday"/>
    <s v="June"/>
    <x v="264"/>
    <s v="CUST867"/>
    <x v="0"/>
    <x v="1"/>
    <n v="21"/>
    <x v="2"/>
    <n v="1"/>
    <n v="500"/>
    <n v="500"/>
    <n v="7.5"/>
    <n v="10"/>
    <n v="7.5"/>
  </r>
  <r>
    <n v="868"/>
    <x v="0"/>
    <n v="12"/>
    <n v="6"/>
    <s v="Wednesday"/>
    <s v="December"/>
    <x v="237"/>
    <s v="CUST868"/>
    <x v="1"/>
    <x v="1"/>
    <n v="25"/>
    <x v="2"/>
    <n v="1"/>
    <n v="300"/>
    <n v="300"/>
    <n v="4.5"/>
    <n v="6"/>
    <n v="4.5"/>
  </r>
  <r>
    <n v="869"/>
    <x v="0"/>
    <n v="10"/>
    <n v="25"/>
    <s v="Wednesday"/>
    <s v="October"/>
    <x v="268"/>
    <s v="CUST869"/>
    <x v="0"/>
    <x v="0"/>
    <n v="37"/>
    <x v="0"/>
    <n v="3"/>
    <n v="500"/>
    <n v="1500"/>
    <n v="22.5"/>
    <n v="30"/>
    <n v="22.5"/>
  </r>
  <r>
    <n v="870"/>
    <x v="0"/>
    <n v="7"/>
    <n v="8"/>
    <s v="Saturday"/>
    <s v="July"/>
    <x v="321"/>
    <s v="CUST870"/>
    <x v="1"/>
    <x v="0"/>
    <n v="46"/>
    <x v="2"/>
    <n v="4"/>
    <n v="30"/>
    <n v="120"/>
    <n v="1.7999999999999998"/>
    <n v="2.4"/>
    <n v="1.7999999999999998"/>
  </r>
  <r>
    <n v="871"/>
    <x v="0"/>
    <n v="8"/>
    <n v="31"/>
    <s v="Thursday"/>
    <s v="August"/>
    <x v="178"/>
    <s v="CUST871"/>
    <x v="0"/>
    <x v="2"/>
    <n v="62"/>
    <x v="0"/>
    <n v="2"/>
    <n v="30"/>
    <n v="60"/>
    <n v="0.89999999999999991"/>
    <n v="1.2"/>
    <n v="0.89999999999999991"/>
  </r>
  <r>
    <n v="872"/>
    <x v="0"/>
    <n v="10"/>
    <n v="11"/>
    <s v="Wednesday"/>
    <s v="October"/>
    <x v="120"/>
    <s v="CUST872"/>
    <x v="1"/>
    <x v="2"/>
    <n v="63"/>
    <x v="0"/>
    <n v="3"/>
    <n v="25"/>
    <n v="75"/>
    <n v="1.125"/>
    <n v="1.5"/>
    <n v="1.125"/>
  </r>
  <r>
    <n v="873"/>
    <x v="0"/>
    <n v="9"/>
    <n v="29"/>
    <s v="Friday"/>
    <s v="September"/>
    <x v="136"/>
    <s v="CUST873"/>
    <x v="1"/>
    <x v="1"/>
    <n v="27"/>
    <x v="2"/>
    <n v="4"/>
    <n v="25"/>
    <n v="100"/>
    <n v="1.5"/>
    <n v="2"/>
    <n v="1.5"/>
  </r>
  <r>
    <n v="874"/>
    <x v="0"/>
    <n v="6"/>
    <n v="26"/>
    <s v="Monday"/>
    <s v="June"/>
    <x v="40"/>
    <s v="CUST874"/>
    <x v="0"/>
    <x v="2"/>
    <n v="60"/>
    <x v="0"/>
    <n v="1"/>
    <n v="30"/>
    <n v="30"/>
    <n v="0.44999999999999996"/>
    <n v="0.6"/>
    <n v="0.44999999999999996"/>
  </r>
  <r>
    <n v="875"/>
    <x v="0"/>
    <n v="8"/>
    <n v="6"/>
    <s v="Sunday"/>
    <s v="August"/>
    <x v="298"/>
    <s v="CUST875"/>
    <x v="1"/>
    <x v="2"/>
    <n v="51"/>
    <x v="2"/>
    <n v="4"/>
    <n v="500"/>
    <n v="2000"/>
    <n v="30"/>
    <n v="40"/>
    <n v="30"/>
  </r>
  <r>
    <n v="876"/>
    <x v="0"/>
    <n v="10"/>
    <n v="9"/>
    <s v="Monday"/>
    <s v="October"/>
    <x v="153"/>
    <s v="CUST876"/>
    <x v="0"/>
    <x v="0"/>
    <n v="43"/>
    <x v="1"/>
    <n v="4"/>
    <n v="30"/>
    <n v="120"/>
    <n v="1.7999999999999998"/>
    <n v="2.4"/>
    <n v="1.7999999999999998"/>
  </r>
  <r>
    <n v="877"/>
    <x v="0"/>
    <n v="6"/>
    <n v="19"/>
    <s v="Monday"/>
    <s v="June"/>
    <x v="171"/>
    <s v="CUST877"/>
    <x v="1"/>
    <x v="2"/>
    <n v="58"/>
    <x v="1"/>
    <n v="1"/>
    <n v="25"/>
    <n v="25"/>
    <n v="0.375"/>
    <n v="0.5"/>
    <n v="0.375"/>
  </r>
  <r>
    <n v="878"/>
    <x v="0"/>
    <n v="6"/>
    <n v="30"/>
    <s v="Friday"/>
    <s v="June"/>
    <x v="313"/>
    <s v="CUST878"/>
    <x v="1"/>
    <x v="1"/>
    <n v="20"/>
    <x v="1"/>
    <n v="1"/>
    <n v="30"/>
    <n v="30"/>
    <n v="0.44999999999999996"/>
    <n v="0.6"/>
    <n v="0.44999999999999996"/>
  </r>
  <r>
    <n v="879"/>
    <x v="0"/>
    <n v="12"/>
    <n v="26"/>
    <s v="Tuesday"/>
    <s v="December"/>
    <x v="24"/>
    <s v="CUST879"/>
    <x v="0"/>
    <x v="1"/>
    <n v="23"/>
    <x v="1"/>
    <n v="1"/>
    <n v="30"/>
    <n v="30"/>
    <n v="0.44999999999999996"/>
    <n v="0.6"/>
    <n v="0.44999999999999996"/>
  </r>
  <r>
    <n v="880"/>
    <x v="0"/>
    <n v="8"/>
    <n v="21"/>
    <s v="Monday"/>
    <s v="August"/>
    <x v="63"/>
    <s v="CUST880"/>
    <x v="0"/>
    <x v="1"/>
    <n v="22"/>
    <x v="0"/>
    <n v="2"/>
    <n v="500"/>
    <n v="1000"/>
    <n v="15"/>
    <n v="20"/>
    <n v="15"/>
  </r>
  <r>
    <n v="881"/>
    <x v="0"/>
    <n v="5"/>
    <n v="19"/>
    <s v="Friday"/>
    <s v="May"/>
    <x v="79"/>
    <s v="CUST881"/>
    <x v="0"/>
    <x v="1"/>
    <n v="22"/>
    <x v="2"/>
    <n v="1"/>
    <n v="300"/>
    <n v="300"/>
    <n v="4.5"/>
    <n v="6"/>
    <n v="4.5"/>
  </r>
  <r>
    <n v="882"/>
    <x v="0"/>
    <n v="6"/>
    <n v="6"/>
    <s v="Tuesday"/>
    <s v="June"/>
    <x v="264"/>
    <s v="CUST882"/>
    <x v="1"/>
    <x v="2"/>
    <n v="64"/>
    <x v="2"/>
    <n v="2"/>
    <n v="25"/>
    <n v="50"/>
    <n v="0.75"/>
    <n v="1"/>
    <n v="0.75"/>
  </r>
  <r>
    <n v="883"/>
    <x v="0"/>
    <n v="5"/>
    <n v="9"/>
    <s v="Tuesday"/>
    <s v="May"/>
    <x v="119"/>
    <s v="CUST883"/>
    <x v="0"/>
    <x v="0"/>
    <n v="40"/>
    <x v="2"/>
    <n v="1"/>
    <n v="500"/>
    <n v="500"/>
    <n v="7.5"/>
    <n v="10"/>
    <n v="7.5"/>
  </r>
  <r>
    <n v="884"/>
    <x v="0"/>
    <n v="4"/>
    <n v="29"/>
    <s v="Saturday"/>
    <s v="April"/>
    <x v="310"/>
    <s v="CUST884"/>
    <x v="1"/>
    <x v="1"/>
    <n v="26"/>
    <x v="1"/>
    <n v="2"/>
    <n v="30"/>
    <n v="60"/>
    <n v="0.89999999999999991"/>
    <n v="1.2"/>
    <n v="0.89999999999999991"/>
  </r>
  <r>
    <n v="885"/>
    <x v="0"/>
    <n v="3"/>
    <n v="3"/>
    <s v="Friday"/>
    <s v="March"/>
    <x v="163"/>
    <s v="CUST885"/>
    <x v="1"/>
    <x v="2"/>
    <n v="52"/>
    <x v="1"/>
    <n v="4"/>
    <n v="30"/>
    <n v="120"/>
    <n v="1.7999999999999998"/>
    <n v="2.4"/>
    <n v="1.7999999999999998"/>
  </r>
  <r>
    <n v="886"/>
    <x v="0"/>
    <n v="4"/>
    <n v="9"/>
    <s v="Sunday"/>
    <s v="April"/>
    <x v="55"/>
    <s v="CUST886"/>
    <x v="0"/>
    <x v="0"/>
    <n v="37"/>
    <x v="2"/>
    <n v="3"/>
    <n v="300"/>
    <n v="900"/>
    <n v="13.5"/>
    <n v="18"/>
    <n v="13.5"/>
  </r>
  <r>
    <n v="887"/>
    <x v="0"/>
    <n v="6"/>
    <n v="11"/>
    <s v="Sunday"/>
    <s v="June"/>
    <x v="86"/>
    <s v="CUST887"/>
    <x v="0"/>
    <x v="2"/>
    <n v="59"/>
    <x v="1"/>
    <n v="4"/>
    <n v="25"/>
    <n v="100"/>
    <n v="1.5"/>
    <n v="2"/>
    <n v="1.5"/>
  </r>
  <r>
    <n v="888"/>
    <x v="0"/>
    <n v="3"/>
    <n v="3"/>
    <s v="Friday"/>
    <s v="March"/>
    <x v="163"/>
    <s v="CUST888"/>
    <x v="1"/>
    <x v="2"/>
    <n v="52"/>
    <x v="2"/>
    <n v="4"/>
    <n v="25"/>
    <n v="100"/>
    <n v="1.5"/>
    <n v="2"/>
    <n v="1.5"/>
  </r>
  <r>
    <n v="889"/>
    <x v="0"/>
    <n v="10"/>
    <n v="2"/>
    <s v="Monday"/>
    <s v="October"/>
    <x v="45"/>
    <s v="CUST889"/>
    <x v="1"/>
    <x v="0"/>
    <n v="35"/>
    <x v="2"/>
    <n v="1"/>
    <n v="50"/>
    <n v="50"/>
    <n v="0.75"/>
    <n v="1"/>
    <n v="0.75"/>
  </r>
  <r>
    <n v="890"/>
    <x v="0"/>
    <n v="12"/>
    <n v="20"/>
    <s v="Wednesday"/>
    <s v="December"/>
    <x v="156"/>
    <s v="CUST890"/>
    <x v="0"/>
    <x v="0"/>
    <n v="34"/>
    <x v="2"/>
    <n v="2"/>
    <n v="25"/>
    <n v="50"/>
    <n v="0.75"/>
    <n v="1"/>
    <n v="0.75"/>
  </r>
  <r>
    <n v="891"/>
    <x v="0"/>
    <n v="4"/>
    <n v="5"/>
    <s v="Wednesday"/>
    <s v="April"/>
    <x v="334"/>
    <s v="CUST891"/>
    <x v="0"/>
    <x v="0"/>
    <n v="41"/>
    <x v="2"/>
    <n v="3"/>
    <n v="300"/>
    <n v="900"/>
    <n v="13.5"/>
    <n v="18"/>
    <n v="13.5"/>
  </r>
  <r>
    <n v="892"/>
    <x v="0"/>
    <n v="4"/>
    <n v="9"/>
    <s v="Sunday"/>
    <s v="April"/>
    <x v="55"/>
    <s v="CUST892"/>
    <x v="0"/>
    <x v="1"/>
    <n v="20"/>
    <x v="2"/>
    <n v="1"/>
    <n v="50"/>
    <n v="50"/>
    <n v="0.75"/>
    <n v="1"/>
    <n v="0.75"/>
  </r>
  <r>
    <n v="893"/>
    <x v="0"/>
    <n v="4"/>
    <n v="21"/>
    <s v="Friday"/>
    <s v="April"/>
    <x v="35"/>
    <s v="CUST893"/>
    <x v="0"/>
    <x v="0"/>
    <n v="49"/>
    <x v="2"/>
    <n v="1"/>
    <n v="50"/>
    <n v="50"/>
    <n v="0.75"/>
    <n v="1"/>
    <n v="0.75"/>
  </r>
  <r>
    <n v="894"/>
    <x v="0"/>
    <n v="9"/>
    <n v="5"/>
    <s v="Tuesday"/>
    <s v="September"/>
    <x v="328"/>
    <s v="CUST894"/>
    <x v="0"/>
    <x v="2"/>
    <n v="52"/>
    <x v="2"/>
    <n v="1"/>
    <n v="30"/>
    <n v="30"/>
    <n v="0.44999999999999996"/>
    <n v="0.6"/>
    <n v="0.44999999999999996"/>
  </r>
  <r>
    <n v="895"/>
    <x v="0"/>
    <n v="5"/>
    <n v="22"/>
    <s v="Monday"/>
    <s v="May"/>
    <x v="247"/>
    <s v="CUST895"/>
    <x v="1"/>
    <x v="2"/>
    <n v="55"/>
    <x v="1"/>
    <n v="4"/>
    <n v="30"/>
    <n v="120"/>
    <n v="1.7999999999999998"/>
    <n v="2.4"/>
    <n v="1.7999999999999998"/>
  </r>
  <r>
    <n v="896"/>
    <x v="0"/>
    <n v="10"/>
    <n v="29"/>
    <s v="Sunday"/>
    <s v="October"/>
    <x v="28"/>
    <s v="CUST896"/>
    <x v="1"/>
    <x v="0"/>
    <n v="30"/>
    <x v="2"/>
    <n v="2"/>
    <n v="25"/>
    <n v="50"/>
    <n v="0.75"/>
    <n v="1"/>
    <n v="0.75"/>
  </r>
  <r>
    <n v="897"/>
    <x v="0"/>
    <n v="9"/>
    <n v="26"/>
    <s v="Tuesday"/>
    <s v="September"/>
    <x v="335"/>
    <s v="CUST897"/>
    <x v="1"/>
    <x v="2"/>
    <n v="64"/>
    <x v="2"/>
    <n v="2"/>
    <n v="50"/>
    <n v="100"/>
    <n v="1.5"/>
    <n v="2"/>
    <n v="1.5"/>
  </r>
  <r>
    <n v="898"/>
    <x v="0"/>
    <n v="11"/>
    <n v="2"/>
    <s v="Thursday"/>
    <s v="November"/>
    <x v="113"/>
    <s v="CUST898"/>
    <x v="1"/>
    <x v="0"/>
    <n v="42"/>
    <x v="1"/>
    <n v="3"/>
    <n v="30"/>
    <n v="90"/>
    <n v="1.3499999999999999"/>
    <n v="1.8"/>
    <n v="1.3499999999999999"/>
  </r>
  <r>
    <n v="899"/>
    <x v="0"/>
    <n v="5"/>
    <n v="25"/>
    <s v="Thursday"/>
    <s v="May"/>
    <x v="242"/>
    <s v="CUST899"/>
    <x v="0"/>
    <x v="1"/>
    <n v="26"/>
    <x v="1"/>
    <n v="2"/>
    <n v="300"/>
    <n v="600"/>
    <n v="9"/>
    <n v="12"/>
    <n v="9"/>
  </r>
  <r>
    <n v="900"/>
    <x v="0"/>
    <n v="2"/>
    <n v="21"/>
    <s v="Tuesday"/>
    <s v="February"/>
    <x v="62"/>
    <s v="CUST900"/>
    <x v="0"/>
    <x v="1"/>
    <n v="21"/>
    <x v="1"/>
    <n v="2"/>
    <n v="30"/>
    <n v="60"/>
    <n v="0.89999999999999991"/>
    <n v="1.2"/>
    <n v="0.89999999999999991"/>
  </r>
  <r>
    <n v="901"/>
    <x v="0"/>
    <n v="4"/>
    <n v="10"/>
    <s v="Monday"/>
    <s v="April"/>
    <x v="294"/>
    <s v="CUST901"/>
    <x v="0"/>
    <x v="0"/>
    <n v="31"/>
    <x v="2"/>
    <n v="1"/>
    <n v="30"/>
    <n v="30"/>
    <n v="0.44999999999999996"/>
    <n v="0.6"/>
    <n v="0.44999999999999996"/>
  </r>
  <r>
    <n v="902"/>
    <x v="0"/>
    <n v="6"/>
    <n v="1"/>
    <s v="Thursday"/>
    <s v="June"/>
    <x v="207"/>
    <s v="CUST902"/>
    <x v="1"/>
    <x v="2"/>
    <n v="54"/>
    <x v="0"/>
    <n v="1"/>
    <n v="50"/>
    <n v="50"/>
    <n v="0.75"/>
    <n v="1"/>
    <n v="0.75"/>
  </r>
  <r>
    <n v="903"/>
    <x v="0"/>
    <n v="4"/>
    <n v="27"/>
    <s v="Thursday"/>
    <s v="April"/>
    <x v="60"/>
    <s v="CUST903"/>
    <x v="1"/>
    <x v="2"/>
    <n v="51"/>
    <x v="0"/>
    <n v="4"/>
    <n v="50"/>
    <n v="200"/>
    <n v="3"/>
    <n v="4"/>
    <n v="3"/>
  </r>
  <r>
    <n v="904"/>
    <x v="0"/>
    <n v="7"/>
    <n v="4"/>
    <s v="Tuesday"/>
    <s v="July"/>
    <x v="336"/>
    <s v="CUST904"/>
    <x v="0"/>
    <x v="1"/>
    <n v="28"/>
    <x v="1"/>
    <n v="1"/>
    <n v="500"/>
    <n v="500"/>
    <n v="7.5"/>
    <n v="10"/>
    <n v="7.5"/>
  </r>
  <r>
    <n v="905"/>
    <x v="0"/>
    <n v="4"/>
    <n v="2"/>
    <s v="Sunday"/>
    <s v="April"/>
    <x v="128"/>
    <s v="CUST905"/>
    <x v="0"/>
    <x v="2"/>
    <n v="58"/>
    <x v="0"/>
    <n v="1"/>
    <n v="300"/>
    <n v="300"/>
    <n v="4.5"/>
    <n v="6"/>
    <n v="4.5"/>
  </r>
  <r>
    <n v="906"/>
    <x v="0"/>
    <n v="6"/>
    <n v="4"/>
    <s v="Sunday"/>
    <s v="June"/>
    <x v="234"/>
    <s v="CUST906"/>
    <x v="1"/>
    <x v="1"/>
    <n v="20"/>
    <x v="1"/>
    <n v="1"/>
    <n v="50"/>
    <n v="50"/>
    <n v="0.75"/>
    <n v="1"/>
    <n v="0.75"/>
  </r>
  <r>
    <n v="907"/>
    <x v="0"/>
    <n v="1"/>
    <n v="8"/>
    <s v="Sunday"/>
    <s v="January"/>
    <x v="199"/>
    <s v="CUST907"/>
    <x v="1"/>
    <x v="0"/>
    <n v="45"/>
    <x v="2"/>
    <n v="1"/>
    <n v="25"/>
    <n v="25"/>
    <n v="0.375"/>
    <n v="0.5"/>
    <n v="0.375"/>
  </r>
  <r>
    <n v="908"/>
    <x v="0"/>
    <n v="12"/>
    <n v="29"/>
    <s v="Friday"/>
    <s v="December"/>
    <x v="167"/>
    <s v="CUST908"/>
    <x v="0"/>
    <x v="0"/>
    <n v="46"/>
    <x v="0"/>
    <n v="4"/>
    <n v="300"/>
    <n v="1200"/>
    <n v="18"/>
    <n v="24"/>
    <n v="18"/>
  </r>
  <r>
    <n v="909"/>
    <x v="0"/>
    <n v="10"/>
    <n v="1"/>
    <s v="Sunday"/>
    <s v="October"/>
    <x v="77"/>
    <s v="CUST909"/>
    <x v="0"/>
    <x v="1"/>
    <n v="26"/>
    <x v="2"/>
    <n v="1"/>
    <n v="300"/>
    <n v="300"/>
    <n v="4.5"/>
    <n v="6"/>
    <n v="4.5"/>
  </r>
  <r>
    <n v="910"/>
    <x v="0"/>
    <n v="3"/>
    <n v="6"/>
    <s v="Monday"/>
    <s v="March"/>
    <x v="149"/>
    <s v="CUST910"/>
    <x v="1"/>
    <x v="1"/>
    <n v="20"/>
    <x v="0"/>
    <n v="3"/>
    <n v="50"/>
    <n v="150"/>
    <n v="2.25"/>
    <n v="3"/>
    <n v="2.25"/>
  </r>
  <r>
    <n v="911"/>
    <x v="0"/>
    <n v="5"/>
    <n v="21"/>
    <s v="Sunday"/>
    <s v="May"/>
    <x v="3"/>
    <s v="CUST911"/>
    <x v="0"/>
    <x v="0"/>
    <n v="42"/>
    <x v="2"/>
    <n v="3"/>
    <n v="300"/>
    <n v="900"/>
    <n v="13.5"/>
    <n v="18"/>
    <n v="13.5"/>
  </r>
  <r>
    <n v="912"/>
    <x v="0"/>
    <n v="1"/>
    <n v="24"/>
    <s v="Tuesday"/>
    <s v="January"/>
    <x v="58"/>
    <s v="CUST912"/>
    <x v="0"/>
    <x v="2"/>
    <n v="51"/>
    <x v="0"/>
    <n v="3"/>
    <n v="50"/>
    <n v="150"/>
    <n v="2.25"/>
    <n v="3"/>
    <n v="2.25"/>
  </r>
  <r>
    <n v="913"/>
    <x v="0"/>
    <n v="1"/>
    <n v="28"/>
    <s v="Saturday"/>
    <s v="January"/>
    <x v="185"/>
    <s v="CUST913"/>
    <x v="0"/>
    <x v="1"/>
    <n v="29"/>
    <x v="2"/>
    <n v="3"/>
    <n v="30"/>
    <n v="90"/>
    <n v="1.3499999999999999"/>
    <n v="1.8"/>
    <n v="1.3499999999999999"/>
  </r>
  <r>
    <n v="914"/>
    <x v="0"/>
    <n v="10"/>
    <n v="11"/>
    <s v="Wednesday"/>
    <s v="October"/>
    <x v="120"/>
    <s v="CUST914"/>
    <x v="1"/>
    <x v="2"/>
    <n v="59"/>
    <x v="2"/>
    <n v="1"/>
    <n v="500"/>
    <n v="500"/>
    <n v="7.5"/>
    <n v="10"/>
    <n v="7.5"/>
  </r>
  <r>
    <n v="915"/>
    <x v="0"/>
    <n v="5"/>
    <n v="30"/>
    <s v="Tuesday"/>
    <s v="May"/>
    <x v="337"/>
    <s v="CUST915"/>
    <x v="1"/>
    <x v="1"/>
    <n v="26"/>
    <x v="0"/>
    <n v="3"/>
    <n v="30"/>
    <n v="90"/>
    <n v="1.3499999999999999"/>
    <n v="1.8"/>
    <n v="1.3499999999999999"/>
  </r>
  <r>
    <n v="916"/>
    <x v="0"/>
    <n v="12"/>
    <n v="24"/>
    <s v="Sunday"/>
    <s v="December"/>
    <x v="32"/>
    <s v="CUST916"/>
    <x v="1"/>
    <x v="0"/>
    <n v="32"/>
    <x v="2"/>
    <n v="1"/>
    <n v="50"/>
    <n v="50"/>
    <n v="0.75"/>
    <n v="1"/>
    <n v="0.75"/>
  </r>
  <r>
    <n v="917"/>
    <x v="0"/>
    <n v="3"/>
    <n v="6"/>
    <s v="Monday"/>
    <s v="March"/>
    <x v="149"/>
    <s v="CUST917"/>
    <x v="1"/>
    <x v="2"/>
    <n v="57"/>
    <x v="2"/>
    <n v="4"/>
    <n v="50"/>
    <n v="200"/>
    <n v="3"/>
    <n v="4"/>
    <n v="3"/>
  </r>
  <r>
    <n v="918"/>
    <x v="0"/>
    <n v="11"/>
    <n v="23"/>
    <s v="Thursday"/>
    <s v="November"/>
    <x v="250"/>
    <s v="CUST918"/>
    <x v="1"/>
    <x v="0"/>
    <n v="42"/>
    <x v="2"/>
    <n v="3"/>
    <n v="30"/>
    <n v="90"/>
    <n v="1.3499999999999999"/>
    <n v="1.8"/>
    <n v="1.3499999999999999"/>
  </r>
  <r>
    <n v="919"/>
    <x v="0"/>
    <n v="9"/>
    <n v="9"/>
    <s v="Saturday"/>
    <s v="September"/>
    <x v="331"/>
    <s v="CUST919"/>
    <x v="1"/>
    <x v="1"/>
    <n v="22"/>
    <x v="0"/>
    <n v="2"/>
    <n v="25"/>
    <n v="50"/>
    <n v="0.75"/>
    <n v="1"/>
    <n v="0.75"/>
  </r>
  <r>
    <n v="920"/>
    <x v="0"/>
    <n v="2"/>
    <n v="22"/>
    <s v="Wednesday"/>
    <s v="February"/>
    <x v="7"/>
    <s v="CUST920"/>
    <x v="1"/>
    <x v="1"/>
    <n v="28"/>
    <x v="0"/>
    <n v="3"/>
    <n v="25"/>
    <n v="75"/>
    <n v="1.125"/>
    <n v="1.5"/>
    <n v="1.125"/>
  </r>
  <r>
    <n v="921"/>
    <x v="0"/>
    <n v="1"/>
    <n v="7"/>
    <s v="Saturday"/>
    <s v="January"/>
    <x v="326"/>
    <s v="CUST921"/>
    <x v="0"/>
    <x v="2"/>
    <n v="51"/>
    <x v="2"/>
    <n v="3"/>
    <n v="25"/>
    <n v="75"/>
    <n v="1.125"/>
    <n v="1.5"/>
    <n v="1.125"/>
  </r>
  <r>
    <n v="922"/>
    <x v="0"/>
    <n v="10"/>
    <n v="21"/>
    <s v="Saturday"/>
    <s v="October"/>
    <x v="338"/>
    <s v="CUST922"/>
    <x v="0"/>
    <x v="0"/>
    <n v="41"/>
    <x v="2"/>
    <n v="1"/>
    <n v="50"/>
    <n v="50"/>
    <n v="0.75"/>
    <n v="1"/>
    <n v="0.75"/>
  </r>
  <r>
    <n v="923"/>
    <x v="0"/>
    <n v="5"/>
    <n v="26"/>
    <s v="Friday"/>
    <s v="May"/>
    <x v="232"/>
    <s v="CUST923"/>
    <x v="0"/>
    <x v="0"/>
    <n v="32"/>
    <x v="0"/>
    <n v="3"/>
    <n v="300"/>
    <n v="900"/>
    <n v="13.5"/>
    <n v="18"/>
    <n v="13.5"/>
  </r>
  <r>
    <n v="924"/>
    <x v="0"/>
    <n v="8"/>
    <n v="29"/>
    <s v="Tuesday"/>
    <s v="August"/>
    <x v="261"/>
    <s v="CUST924"/>
    <x v="0"/>
    <x v="2"/>
    <n v="55"/>
    <x v="0"/>
    <n v="2"/>
    <n v="50"/>
    <n v="100"/>
    <n v="1.5"/>
    <n v="2"/>
    <n v="1.5"/>
  </r>
  <r>
    <n v="925"/>
    <x v="0"/>
    <n v="9"/>
    <n v="3"/>
    <s v="Sunday"/>
    <s v="September"/>
    <x v="339"/>
    <s v="CUST925"/>
    <x v="0"/>
    <x v="1"/>
    <n v="25"/>
    <x v="2"/>
    <n v="1"/>
    <n v="300"/>
    <n v="300"/>
    <n v="4.5"/>
    <n v="6"/>
    <n v="4.5"/>
  </r>
  <r>
    <n v="926"/>
    <x v="0"/>
    <n v="8"/>
    <n v="14"/>
    <s v="Monday"/>
    <s v="August"/>
    <x v="306"/>
    <s v="CUST926"/>
    <x v="0"/>
    <x v="1"/>
    <n v="22"/>
    <x v="2"/>
    <n v="1"/>
    <n v="30"/>
    <n v="30"/>
    <n v="0.44999999999999996"/>
    <n v="0.6"/>
    <n v="0.44999999999999996"/>
  </r>
  <r>
    <n v="927"/>
    <x v="0"/>
    <n v="6"/>
    <n v="24"/>
    <s v="Saturday"/>
    <s v="June"/>
    <x v="33"/>
    <s v="CUST927"/>
    <x v="0"/>
    <x v="0"/>
    <n v="43"/>
    <x v="2"/>
    <n v="4"/>
    <n v="500"/>
    <n v="2000"/>
    <n v="30"/>
    <n v="40"/>
    <n v="30"/>
  </r>
  <r>
    <n v="928"/>
    <x v="0"/>
    <n v="4"/>
    <n v="5"/>
    <s v="Wednesday"/>
    <s v="April"/>
    <x v="334"/>
    <s v="CUST928"/>
    <x v="1"/>
    <x v="0"/>
    <n v="35"/>
    <x v="1"/>
    <n v="4"/>
    <n v="300"/>
    <n v="1200"/>
    <n v="18"/>
    <n v="24"/>
    <n v="18"/>
  </r>
  <r>
    <n v="929"/>
    <x v="0"/>
    <n v="1"/>
    <n v="27"/>
    <s v="Friday"/>
    <s v="January"/>
    <x v="246"/>
    <s v="CUST929"/>
    <x v="1"/>
    <x v="1"/>
    <n v="23"/>
    <x v="0"/>
    <n v="3"/>
    <n v="25"/>
    <n v="75"/>
    <n v="1.125"/>
    <n v="1.5"/>
    <n v="1.125"/>
  </r>
  <r>
    <n v="930"/>
    <x v="0"/>
    <n v="5"/>
    <n v="10"/>
    <s v="Wednesday"/>
    <s v="May"/>
    <x v="318"/>
    <s v="CUST930"/>
    <x v="0"/>
    <x v="2"/>
    <n v="54"/>
    <x v="1"/>
    <n v="4"/>
    <n v="50"/>
    <n v="200"/>
    <n v="3"/>
    <n v="4"/>
    <n v="3"/>
  </r>
  <r>
    <n v="931"/>
    <x v="0"/>
    <n v="9"/>
    <n v="2"/>
    <s v="Saturday"/>
    <s v="September"/>
    <x v="211"/>
    <s v="CUST931"/>
    <x v="0"/>
    <x v="0"/>
    <n v="30"/>
    <x v="0"/>
    <n v="4"/>
    <n v="30"/>
    <n v="120"/>
    <n v="1.7999999999999998"/>
    <n v="2.4"/>
    <n v="1.7999999999999998"/>
  </r>
  <r>
    <n v="932"/>
    <x v="0"/>
    <n v="2"/>
    <n v="28"/>
    <s v="Tuesday"/>
    <s v="February"/>
    <x v="122"/>
    <s v="CUST932"/>
    <x v="1"/>
    <x v="0"/>
    <n v="45"/>
    <x v="0"/>
    <n v="4"/>
    <n v="25"/>
    <n v="100"/>
    <n v="1.5"/>
    <n v="2"/>
    <n v="1.5"/>
  </r>
  <r>
    <n v="933"/>
    <x v="0"/>
    <n v="2"/>
    <n v="3"/>
    <s v="Friday"/>
    <s v="February"/>
    <x v="89"/>
    <s v="CUST933"/>
    <x v="0"/>
    <x v="1"/>
    <n v="22"/>
    <x v="0"/>
    <n v="1"/>
    <n v="30"/>
    <n v="30"/>
    <n v="0.44999999999999996"/>
    <n v="0.6"/>
    <n v="0.44999999999999996"/>
  </r>
  <r>
    <n v="934"/>
    <x v="0"/>
    <n v="7"/>
    <n v="25"/>
    <s v="Tuesday"/>
    <s v="July"/>
    <x v="87"/>
    <s v="CUST934"/>
    <x v="0"/>
    <x v="0"/>
    <n v="30"/>
    <x v="0"/>
    <n v="1"/>
    <n v="500"/>
    <n v="500"/>
    <n v="7.5"/>
    <n v="10"/>
    <n v="7.5"/>
  </r>
  <r>
    <n v="935"/>
    <x v="0"/>
    <n v="9"/>
    <n v="9"/>
    <s v="Saturday"/>
    <s v="September"/>
    <x v="331"/>
    <s v="CUST935"/>
    <x v="1"/>
    <x v="0"/>
    <n v="34"/>
    <x v="0"/>
    <n v="1"/>
    <n v="50"/>
    <n v="50"/>
    <n v="0.75"/>
    <n v="1"/>
    <n v="0.75"/>
  </r>
  <r>
    <n v="936"/>
    <x v="0"/>
    <n v="2"/>
    <n v="7"/>
    <s v="Tuesday"/>
    <s v="February"/>
    <x v="227"/>
    <s v="CUST936"/>
    <x v="0"/>
    <x v="2"/>
    <n v="57"/>
    <x v="0"/>
    <n v="4"/>
    <n v="50"/>
    <n v="200"/>
    <n v="3"/>
    <n v="4"/>
    <n v="3"/>
  </r>
  <r>
    <n v="937"/>
    <x v="0"/>
    <n v="10"/>
    <n v="23"/>
    <s v="Monday"/>
    <s v="October"/>
    <x v="54"/>
    <s v="CUST937"/>
    <x v="1"/>
    <x v="2"/>
    <n v="62"/>
    <x v="0"/>
    <n v="1"/>
    <n v="500"/>
    <n v="500"/>
    <n v="7.5"/>
    <n v="10"/>
    <n v="7.5"/>
  </r>
  <r>
    <n v="938"/>
    <x v="0"/>
    <n v="11"/>
    <n v="19"/>
    <s v="Sunday"/>
    <s v="November"/>
    <x v="292"/>
    <s v="CUST938"/>
    <x v="0"/>
    <x v="0"/>
    <n v="49"/>
    <x v="1"/>
    <n v="4"/>
    <n v="50"/>
    <n v="200"/>
    <n v="3"/>
    <n v="4"/>
    <n v="3"/>
  </r>
  <r>
    <n v="939"/>
    <x v="0"/>
    <n v="12"/>
    <n v="18"/>
    <s v="Monday"/>
    <s v="December"/>
    <x v="244"/>
    <s v="CUST939"/>
    <x v="1"/>
    <x v="0"/>
    <n v="46"/>
    <x v="2"/>
    <n v="1"/>
    <n v="300"/>
    <n v="300"/>
    <n v="4.5"/>
    <n v="6"/>
    <n v="4.5"/>
  </r>
  <r>
    <n v="940"/>
    <x v="0"/>
    <n v="1"/>
    <n v="28"/>
    <s v="Saturday"/>
    <s v="January"/>
    <x v="185"/>
    <s v="CUST940"/>
    <x v="1"/>
    <x v="1"/>
    <n v="20"/>
    <x v="2"/>
    <n v="1"/>
    <n v="30"/>
    <n v="30"/>
    <n v="0.44999999999999996"/>
    <n v="0.6"/>
    <n v="0.44999999999999996"/>
  </r>
  <r>
    <n v="941"/>
    <x v="0"/>
    <n v="3"/>
    <n v="19"/>
    <s v="Sunday"/>
    <s v="March"/>
    <x v="309"/>
    <s v="CUST941"/>
    <x v="1"/>
    <x v="2"/>
    <n v="57"/>
    <x v="1"/>
    <n v="2"/>
    <n v="25"/>
    <n v="50"/>
    <n v="0.75"/>
    <n v="1"/>
    <n v="0.75"/>
  </r>
  <r>
    <n v="942"/>
    <x v="0"/>
    <n v="3"/>
    <n v="18"/>
    <s v="Saturday"/>
    <s v="March"/>
    <x v="253"/>
    <s v="CUST942"/>
    <x v="0"/>
    <x v="2"/>
    <n v="51"/>
    <x v="1"/>
    <n v="3"/>
    <n v="500"/>
    <n v="1500"/>
    <n v="22.5"/>
    <n v="30"/>
    <n v="22.5"/>
  </r>
  <r>
    <n v="943"/>
    <x v="0"/>
    <n v="10"/>
    <n v="16"/>
    <s v="Monday"/>
    <s v="October"/>
    <x v="230"/>
    <s v="CUST943"/>
    <x v="1"/>
    <x v="2"/>
    <n v="57"/>
    <x v="1"/>
    <n v="4"/>
    <n v="300"/>
    <n v="1200"/>
    <n v="18"/>
    <n v="24"/>
    <n v="18"/>
  </r>
  <r>
    <n v="944"/>
    <x v="0"/>
    <n v="6"/>
    <n v="5"/>
    <s v="Monday"/>
    <s v="June"/>
    <x v="284"/>
    <s v="CUST944"/>
    <x v="0"/>
    <x v="0"/>
    <n v="44"/>
    <x v="1"/>
    <n v="2"/>
    <n v="25"/>
    <n v="50"/>
    <n v="0.75"/>
    <n v="1"/>
    <n v="0.75"/>
  </r>
  <r>
    <n v="945"/>
    <x v="0"/>
    <n v="2"/>
    <n v="13"/>
    <s v="Monday"/>
    <s v="February"/>
    <x v="146"/>
    <s v="CUST945"/>
    <x v="0"/>
    <x v="0"/>
    <n v="30"/>
    <x v="0"/>
    <n v="1"/>
    <n v="25"/>
    <n v="25"/>
    <n v="0.375"/>
    <n v="0.5"/>
    <n v="0.375"/>
  </r>
  <r>
    <n v="946"/>
    <x v="0"/>
    <n v="5"/>
    <n v="8"/>
    <s v="Monday"/>
    <s v="May"/>
    <x v="193"/>
    <s v="CUST946"/>
    <x v="0"/>
    <x v="2"/>
    <n v="62"/>
    <x v="2"/>
    <n v="4"/>
    <n v="500"/>
    <n v="2000"/>
    <n v="30"/>
    <n v="40"/>
    <n v="30"/>
  </r>
  <r>
    <n v="947"/>
    <x v="0"/>
    <n v="3"/>
    <n v="2"/>
    <s v="Thursday"/>
    <s v="March"/>
    <x v="340"/>
    <s v="CUST947"/>
    <x v="0"/>
    <x v="2"/>
    <n v="50"/>
    <x v="0"/>
    <n v="1"/>
    <n v="300"/>
    <n v="300"/>
    <n v="4.5"/>
    <n v="6"/>
    <n v="4.5"/>
  </r>
  <r>
    <n v="948"/>
    <x v="0"/>
    <n v="10"/>
    <n v="13"/>
    <s v="Friday"/>
    <s v="October"/>
    <x v="81"/>
    <s v="CUST948"/>
    <x v="1"/>
    <x v="1"/>
    <n v="23"/>
    <x v="2"/>
    <n v="3"/>
    <n v="25"/>
    <n v="75"/>
    <n v="1.125"/>
    <n v="1.5"/>
    <n v="1.125"/>
  </r>
  <r>
    <n v="949"/>
    <x v="0"/>
    <n v="8"/>
    <n v="2"/>
    <s v="Wednesday"/>
    <s v="August"/>
    <x v="341"/>
    <s v="CUST949"/>
    <x v="1"/>
    <x v="0"/>
    <n v="41"/>
    <x v="2"/>
    <n v="2"/>
    <n v="25"/>
    <n v="50"/>
    <n v="0.75"/>
    <n v="1"/>
    <n v="0.75"/>
  </r>
  <r>
    <n v="950"/>
    <x v="0"/>
    <n v="11"/>
    <n v="7"/>
    <s v="Tuesday"/>
    <s v="November"/>
    <x v="155"/>
    <s v="CUST950"/>
    <x v="0"/>
    <x v="0"/>
    <n v="36"/>
    <x v="1"/>
    <n v="3"/>
    <n v="300"/>
    <n v="900"/>
    <n v="13.5"/>
    <n v="18"/>
    <n v="13.5"/>
  </r>
  <r>
    <n v="951"/>
    <x v="0"/>
    <n v="11"/>
    <n v="2"/>
    <s v="Thursday"/>
    <s v="November"/>
    <x v="113"/>
    <s v="CUST951"/>
    <x v="0"/>
    <x v="0"/>
    <n v="33"/>
    <x v="0"/>
    <n v="2"/>
    <n v="50"/>
    <n v="100"/>
    <n v="1.5"/>
    <n v="2"/>
    <n v="1.5"/>
  </r>
  <r>
    <n v="952"/>
    <x v="0"/>
    <n v="11"/>
    <n v="13"/>
    <s v="Monday"/>
    <s v="November"/>
    <x v="52"/>
    <s v="CUST952"/>
    <x v="1"/>
    <x v="2"/>
    <n v="57"/>
    <x v="1"/>
    <n v="1"/>
    <n v="25"/>
    <n v="25"/>
    <n v="0.375"/>
    <n v="0.5"/>
    <n v="0.375"/>
  </r>
  <r>
    <n v="953"/>
    <x v="0"/>
    <n v="4"/>
    <n v="26"/>
    <s v="Wednesday"/>
    <s v="April"/>
    <x v="164"/>
    <s v="CUST953"/>
    <x v="0"/>
    <x v="0"/>
    <n v="45"/>
    <x v="0"/>
    <n v="3"/>
    <n v="30"/>
    <n v="90"/>
    <n v="1.3499999999999999"/>
    <n v="1.8"/>
    <n v="1.3499999999999999"/>
  </r>
  <r>
    <n v="954"/>
    <x v="0"/>
    <n v="9"/>
    <n v="25"/>
    <s v="Monday"/>
    <s v="September"/>
    <x v="223"/>
    <s v="CUST954"/>
    <x v="1"/>
    <x v="2"/>
    <n v="50"/>
    <x v="2"/>
    <n v="3"/>
    <n v="300"/>
    <n v="900"/>
    <n v="13.5"/>
    <n v="18"/>
    <n v="13.5"/>
  </r>
  <r>
    <n v="955"/>
    <x v="0"/>
    <n v="7"/>
    <n v="14"/>
    <s v="Friday"/>
    <s v="July"/>
    <x v="37"/>
    <s v="CUST955"/>
    <x v="0"/>
    <x v="2"/>
    <n v="58"/>
    <x v="1"/>
    <n v="1"/>
    <n v="25"/>
    <n v="25"/>
    <n v="0.375"/>
    <n v="0.5"/>
    <n v="0.375"/>
  </r>
  <r>
    <n v="956"/>
    <x v="0"/>
    <n v="8"/>
    <n v="19"/>
    <s v="Saturday"/>
    <s v="August"/>
    <x v="304"/>
    <s v="CUST956"/>
    <x v="0"/>
    <x v="0"/>
    <n v="30"/>
    <x v="1"/>
    <n v="3"/>
    <n v="500"/>
    <n v="1500"/>
    <n v="22.5"/>
    <n v="30"/>
    <n v="22.5"/>
  </r>
  <r>
    <n v="957"/>
    <x v="0"/>
    <n v="8"/>
    <n v="15"/>
    <s v="Tuesday"/>
    <s v="August"/>
    <x v="196"/>
    <s v="CUST957"/>
    <x v="1"/>
    <x v="2"/>
    <n v="60"/>
    <x v="2"/>
    <n v="4"/>
    <n v="30"/>
    <n v="120"/>
    <n v="1.7999999999999998"/>
    <n v="2.4"/>
    <n v="1.7999999999999998"/>
  </r>
  <r>
    <n v="958"/>
    <x v="0"/>
    <n v="6"/>
    <n v="2"/>
    <s v="Friday"/>
    <s v="June"/>
    <x v="132"/>
    <s v="CUST958"/>
    <x v="0"/>
    <x v="2"/>
    <n v="62"/>
    <x v="2"/>
    <n v="2"/>
    <n v="25"/>
    <n v="50"/>
    <n v="0.75"/>
    <n v="1"/>
    <n v="0.75"/>
  </r>
  <r>
    <n v="959"/>
    <x v="0"/>
    <n v="10"/>
    <n v="29"/>
    <s v="Sunday"/>
    <s v="October"/>
    <x v="28"/>
    <s v="CUST959"/>
    <x v="1"/>
    <x v="0"/>
    <n v="42"/>
    <x v="2"/>
    <n v="2"/>
    <n v="30"/>
    <n v="60"/>
    <n v="0.89999999999999991"/>
    <n v="1.2"/>
    <n v="0.89999999999999991"/>
  </r>
  <r>
    <n v="960"/>
    <x v="0"/>
    <n v="8"/>
    <n v="8"/>
    <s v="Tuesday"/>
    <s v="August"/>
    <x v="102"/>
    <s v="CUST960"/>
    <x v="0"/>
    <x v="2"/>
    <n v="59"/>
    <x v="1"/>
    <n v="2"/>
    <n v="30"/>
    <n v="60"/>
    <n v="0.89999999999999991"/>
    <n v="1.2"/>
    <n v="0.89999999999999991"/>
  </r>
  <r>
    <n v="961"/>
    <x v="0"/>
    <n v="6"/>
    <n v="6"/>
    <s v="Tuesday"/>
    <s v="June"/>
    <x v="264"/>
    <s v="CUST961"/>
    <x v="0"/>
    <x v="2"/>
    <n v="53"/>
    <x v="0"/>
    <n v="4"/>
    <n v="50"/>
    <n v="200"/>
    <n v="3"/>
    <n v="4"/>
    <n v="3"/>
  </r>
  <r>
    <n v="962"/>
    <x v="0"/>
    <n v="10"/>
    <n v="19"/>
    <s v="Thursday"/>
    <s v="October"/>
    <x v="218"/>
    <s v="CUST962"/>
    <x v="0"/>
    <x v="0"/>
    <n v="44"/>
    <x v="1"/>
    <n v="2"/>
    <n v="30"/>
    <n v="60"/>
    <n v="0.89999999999999991"/>
    <n v="1.2"/>
    <n v="0.89999999999999991"/>
  </r>
  <r>
    <n v="963"/>
    <x v="0"/>
    <n v="11"/>
    <n v="14"/>
    <s v="Tuesday"/>
    <s v="November"/>
    <x v="220"/>
    <s v="CUST963"/>
    <x v="1"/>
    <x v="2"/>
    <n v="55"/>
    <x v="0"/>
    <n v="1"/>
    <n v="50"/>
    <n v="50"/>
    <n v="0.75"/>
    <n v="1"/>
    <n v="0.75"/>
  </r>
  <r>
    <n v="964"/>
    <x v="0"/>
    <n v="1"/>
    <n v="31"/>
    <s v="Tuesday"/>
    <s v="January"/>
    <x v="169"/>
    <s v="CUST964"/>
    <x v="0"/>
    <x v="1"/>
    <n v="24"/>
    <x v="1"/>
    <n v="3"/>
    <n v="300"/>
    <n v="900"/>
    <n v="13.5"/>
    <n v="18"/>
    <n v="13.5"/>
  </r>
  <r>
    <n v="965"/>
    <x v="0"/>
    <n v="11"/>
    <n v="9"/>
    <s v="Thursday"/>
    <s v="November"/>
    <x v="289"/>
    <s v="CUST965"/>
    <x v="0"/>
    <x v="1"/>
    <n v="22"/>
    <x v="1"/>
    <n v="4"/>
    <n v="50"/>
    <n v="200"/>
    <n v="3"/>
    <n v="4"/>
    <n v="3"/>
  </r>
  <r>
    <n v="966"/>
    <x v="0"/>
    <n v="2"/>
    <n v="20"/>
    <s v="Monday"/>
    <s v="February"/>
    <x v="189"/>
    <s v="CUST966"/>
    <x v="0"/>
    <x v="2"/>
    <n v="60"/>
    <x v="2"/>
    <n v="2"/>
    <n v="500"/>
    <n v="1000"/>
    <n v="15"/>
    <n v="20"/>
    <n v="15"/>
  </r>
  <r>
    <n v="967"/>
    <x v="0"/>
    <n v="4"/>
    <n v="17"/>
    <s v="Monday"/>
    <s v="April"/>
    <x v="342"/>
    <s v="CUST967"/>
    <x v="0"/>
    <x v="2"/>
    <n v="62"/>
    <x v="0"/>
    <n v="1"/>
    <n v="25"/>
    <n v="25"/>
    <n v="0.375"/>
    <n v="0.5"/>
    <n v="0.375"/>
  </r>
  <r>
    <n v="968"/>
    <x v="0"/>
    <n v="11"/>
    <n v="17"/>
    <s v="Friday"/>
    <s v="November"/>
    <x v="131"/>
    <s v="CUST968"/>
    <x v="1"/>
    <x v="0"/>
    <n v="48"/>
    <x v="1"/>
    <n v="3"/>
    <n v="300"/>
    <n v="900"/>
    <n v="13.5"/>
    <n v="18"/>
    <n v="13.5"/>
  </r>
  <r>
    <n v="969"/>
    <x v="0"/>
    <n v="4"/>
    <n v="19"/>
    <s v="Wednesday"/>
    <s v="April"/>
    <x v="90"/>
    <s v="CUST969"/>
    <x v="1"/>
    <x v="0"/>
    <n v="40"/>
    <x v="1"/>
    <n v="3"/>
    <n v="300"/>
    <n v="900"/>
    <n v="13.5"/>
    <n v="18"/>
    <n v="13.5"/>
  </r>
  <r>
    <n v="970"/>
    <x v="0"/>
    <n v="5"/>
    <n v="16"/>
    <s v="Tuesday"/>
    <s v="May"/>
    <x v="42"/>
    <s v="CUST970"/>
    <x v="0"/>
    <x v="2"/>
    <n v="59"/>
    <x v="2"/>
    <n v="4"/>
    <n v="500"/>
    <n v="2000"/>
    <n v="30"/>
    <n v="40"/>
    <n v="30"/>
  </r>
  <r>
    <n v="971"/>
    <x v="0"/>
    <n v="12"/>
    <n v="5"/>
    <s v="Tuesday"/>
    <s v="December"/>
    <x v="59"/>
    <s v="CUST971"/>
    <x v="1"/>
    <x v="1"/>
    <n v="27"/>
    <x v="2"/>
    <n v="4"/>
    <n v="50"/>
    <n v="200"/>
    <n v="3"/>
    <n v="4"/>
    <n v="3"/>
  </r>
  <r>
    <n v="972"/>
    <x v="0"/>
    <n v="2"/>
    <n v="11"/>
    <s v="Saturday"/>
    <s v="February"/>
    <x v="213"/>
    <s v="CUST972"/>
    <x v="0"/>
    <x v="0"/>
    <n v="49"/>
    <x v="0"/>
    <n v="4"/>
    <n v="25"/>
    <n v="100"/>
    <n v="1.5"/>
    <n v="2"/>
    <n v="1.5"/>
  </r>
  <r>
    <n v="973"/>
    <x v="0"/>
    <n v="3"/>
    <n v="22"/>
    <s v="Wednesday"/>
    <s v="March"/>
    <x v="125"/>
    <s v="CUST973"/>
    <x v="0"/>
    <x v="2"/>
    <n v="60"/>
    <x v="1"/>
    <n v="1"/>
    <n v="50"/>
    <n v="50"/>
    <n v="0.75"/>
    <n v="1"/>
    <n v="0.75"/>
  </r>
  <r>
    <n v="974"/>
    <x v="0"/>
    <n v="5"/>
    <n v="3"/>
    <s v="Wednesday"/>
    <s v="May"/>
    <x v="143"/>
    <s v="CUST974"/>
    <x v="0"/>
    <x v="0"/>
    <n v="47"/>
    <x v="0"/>
    <n v="1"/>
    <n v="30"/>
    <n v="30"/>
    <n v="0.44999999999999996"/>
    <n v="0.6"/>
    <n v="0.44999999999999996"/>
  </r>
  <r>
    <n v="975"/>
    <x v="0"/>
    <n v="3"/>
    <n v="30"/>
    <s v="Thursday"/>
    <s v="March"/>
    <x v="343"/>
    <s v="CUST975"/>
    <x v="1"/>
    <x v="2"/>
    <n v="56"/>
    <x v="1"/>
    <n v="4"/>
    <n v="50"/>
    <n v="200"/>
    <n v="3"/>
    <n v="4"/>
    <n v="3"/>
  </r>
  <r>
    <n v="976"/>
    <x v="0"/>
    <n v="10"/>
    <n v="10"/>
    <s v="Tuesday"/>
    <s v="October"/>
    <x v="49"/>
    <s v="CUST976"/>
    <x v="1"/>
    <x v="0"/>
    <n v="48"/>
    <x v="0"/>
    <n v="2"/>
    <n v="300"/>
    <n v="600"/>
    <n v="9"/>
    <n v="12"/>
    <n v="9"/>
  </r>
  <r>
    <n v="977"/>
    <x v="0"/>
    <n v="2"/>
    <n v="8"/>
    <s v="Wednesday"/>
    <s v="February"/>
    <x v="195"/>
    <s v="CUST977"/>
    <x v="1"/>
    <x v="0"/>
    <n v="35"/>
    <x v="2"/>
    <n v="3"/>
    <n v="25"/>
    <n v="75"/>
    <n v="1.125"/>
    <n v="1.5"/>
    <n v="1.125"/>
  </r>
  <r>
    <n v="978"/>
    <x v="0"/>
    <n v="3"/>
    <n v="22"/>
    <s v="Wednesday"/>
    <s v="March"/>
    <x v="125"/>
    <s v="CUST978"/>
    <x v="1"/>
    <x v="2"/>
    <n v="53"/>
    <x v="1"/>
    <n v="3"/>
    <n v="50"/>
    <n v="150"/>
    <n v="2.25"/>
    <n v="3"/>
    <n v="2.25"/>
  </r>
  <r>
    <n v="979"/>
    <x v="0"/>
    <n v="1"/>
    <n v="2"/>
    <s v="Monday"/>
    <s v="January"/>
    <x v="126"/>
    <s v="CUST979"/>
    <x v="1"/>
    <x v="1"/>
    <n v="19"/>
    <x v="0"/>
    <n v="1"/>
    <n v="25"/>
    <n v="25"/>
    <n v="0.375"/>
    <n v="0.5"/>
    <n v="0.375"/>
  </r>
  <r>
    <n v="980"/>
    <x v="0"/>
    <n v="7"/>
    <n v="29"/>
    <s v="Saturday"/>
    <s v="July"/>
    <x v="277"/>
    <s v="CUST980"/>
    <x v="1"/>
    <x v="0"/>
    <n v="31"/>
    <x v="2"/>
    <n v="3"/>
    <n v="25"/>
    <n v="75"/>
    <n v="1.125"/>
    <n v="1.5"/>
    <n v="1.125"/>
  </r>
  <r>
    <n v="981"/>
    <x v="0"/>
    <n v="8"/>
    <n v="19"/>
    <s v="Saturday"/>
    <s v="August"/>
    <x v="304"/>
    <s v="CUST981"/>
    <x v="1"/>
    <x v="0"/>
    <n v="30"/>
    <x v="2"/>
    <n v="2"/>
    <n v="30"/>
    <n v="60"/>
    <n v="0.89999999999999991"/>
    <n v="1.2"/>
    <n v="0.89999999999999991"/>
  </r>
  <r>
    <n v="982"/>
    <x v="0"/>
    <n v="12"/>
    <n v="19"/>
    <s v="Tuesday"/>
    <s v="December"/>
    <x v="80"/>
    <s v="CUST982"/>
    <x v="1"/>
    <x v="0"/>
    <n v="46"/>
    <x v="0"/>
    <n v="3"/>
    <n v="30"/>
    <n v="90"/>
    <n v="1.3499999999999999"/>
    <n v="1.8"/>
    <n v="1.3499999999999999"/>
  </r>
  <r>
    <n v="983"/>
    <x v="0"/>
    <n v="11"/>
    <n v="1"/>
    <s v="Wednesday"/>
    <s v="November"/>
    <x v="215"/>
    <s v="CUST983"/>
    <x v="1"/>
    <x v="1"/>
    <n v="29"/>
    <x v="1"/>
    <n v="1"/>
    <n v="300"/>
    <n v="300"/>
    <n v="4.5"/>
    <n v="6"/>
    <n v="4.5"/>
  </r>
  <r>
    <n v="984"/>
    <x v="0"/>
    <n v="8"/>
    <n v="29"/>
    <s v="Tuesday"/>
    <s v="August"/>
    <x v="261"/>
    <s v="CUST984"/>
    <x v="0"/>
    <x v="2"/>
    <n v="56"/>
    <x v="1"/>
    <n v="1"/>
    <n v="500"/>
    <n v="500"/>
    <n v="7.5"/>
    <n v="10"/>
    <n v="7.5"/>
  </r>
  <r>
    <n v="985"/>
    <x v="0"/>
    <n v="5"/>
    <n v="30"/>
    <s v="Tuesday"/>
    <s v="May"/>
    <x v="337"/>
    <s v="CUST985"/>
    <x v="1"/>
    <x v="1"/>
    <n v="19"/>
    <x v="2"/>
    <n v="2"/>
    <n v="25"/>
    <n v="50"/>
    <n v="0.75"/>
    <n v="1"/>
    <n v="0.75"/>
  </r>
  <r>
    <n v="986"/>
    <x v="0"/>
    <n v="1"/>
    <n v="17"/>
    <s v="Tuesday"/>
    <s v="January"/>
    <x v="13"/>
    <s v="CUST986"/>
    <x v="1"/>
    <x v="0"/>
    <n v="49"/>
    <x v="1"/>
    <n v="2"/>
    <n v="500"/>
    <n v="1000"/>
    <n v="15"/>
    <n v="20"/>
    <n v="15"/>
  </r>
  <r>
    <n v="987"/>
    <x v="0"/>
    <n v="4"/>
    <n v="29"/>
    <s v="Saturday"/>
    <s v="April"/>
    <x v="310"/>
    <s v="CUST987"/>
    <x v="1"/>
    <x v="0"/>
    <n v="30"/>
    <x v="1"/>
    <n v="3"/>
    <n v="300"/>
    <n v="900"/>
    <n v="13.5"/>
    <n v="18"/>
    <n v="13.5"/>
  </r>
  <r>
    <n v="988"/>
    <x v="0"/>
    <n v="5"/>
    <n v="28"/>
    <s v="Sunday"/>
    <s v="May"/>
    <x v="344"/>
    <s v="CUST988"/>
    <x v="1"/>
    <x v="2"/>
    <n v="63"/>
    <x v="1"/>
    <n v="3"/>
    <n v="25"/>
    <n v="75"/>
    <n v="1.125"/>
    <n v="1.5"/>
    <n v="1.125"/>
  </r>
  <r>
    <n v="989"/>
    <x v="0"/>
    <n v="12"/>
    <n v="28"/>
    <s v="Thursday"/>
    <s v="December"/>
    <x v="251"/>
    <s v="CUST989"/>
    <x v="1"/>
    <x v="0"/>
    <n v="44"/>
    <x v="2"/>
    <n v="1"/>
    <n v="25"/>
    <n v="25"/>
    <n v="0.375"/>
    <n v="0.5"/>
    <n v="0.375"/>
  </r>
  <r>
    <n v="990"/>
    <x v="0"/>
    <n v="5"/>
    <n v="25"/>
    <s v="Thursday"/>
    <s v="May"/>
    <x v="242"/>
    <s v="CUST990"/>
    <x v="1"/>
    <x v="2"/>
    <n v="58"/>
    <x v="0"/>
    <n v="2"/>
    <n v="500"/>
    <n v="1000"/>
    <n v="15"/>
    <n v="20"/>
    <n v="15"/>
  </r>
  <r>
    <n v="991"/>
    <x v="0"/>
    <n v="12"/>
    <n v="26"/>
    <s v="Tuesday"/>
    <s v="December"/>
    <x v="24"/>
    <s v="CUST991"/>
    <x v="1"/>
    <x v="0"/>
    <n v="34"/>
    <x v="1"/>
    <n v="2"/>
    <n v="50"/>
    <n v="100"/>
    <n v="1.5"/>
    <n v="2"/>
    <n v="1.5"/>
  </r>
  <r>
    <n v="992"/>
    <x v="0"/>
    <n v="8"/>
    <n v="21"/>
    <s v="Monday"/>
    <s v="August"/>
    <x v="63"/>
    <s v="CUST992"/>
    <x v="1"/>
    <x v="2"/>
    <n v="57"/>
    <x v="2"/>
    <n v="2"/>
    <n v="30"/>
    <n v="60"/>
    <n v="0.89999999999999991"/>
    <n v="1.2"/>
    <n v="0.89999999999999991"/>
  </r>
  <r>
    <n v="993"/>
    <x v="0"/>
    <n v="2"/>
    <n v="6"/>
    <s v="Monday"/>
    <s v="February"/>
    <x v="74"/>
    <s v="CUST993"/>
    <x v="1"/>
    <x v="0"/>
    <n v="48"/>
    <x v="2"/>
    <n v="3"/>
    <n v="50"/>
    <n v="150"/>
    <n v="2.25"/>
    <n v="3"/>
    <n v="2.25"/>
  </r>
  <r>
    <n v="994"/>
    <x v="0"/>
    <n v="12"/>
    <n v="18"/>
    <s v="Monday"/>
    <s v="December"/>
    <x v="244"/>
    <s v="CUST994"/>
    <x v="1"/>
    <x v="2"/>
    <n v="51"/>
    <x v="0"/>
    <n v="2"/>
    <n v="500"/>
    <n v="1000"/>
    <n v="15"/>
    <n v="20"/>
    <n v="15"/>
  </r>
  <r>
    <n v="995"/>
    <x v="0"/>
    <n v="4"/>
    <n v="30"/>
    <s v="Sunday"/>
    <s v="April"/>
    <x v="17"/>
    <s v="CUST995"/>
    <x v="1"/>
    <x v="0"/>
    <n v="41"/>
    <x v="1"/>
    <n v="1"/>
    <n v="30"/>
    <n v="30"/>
    <n v="0.44999999999999996"/>
    <n v="0.6"/>
    <n v="0.44999999999999996"/>
  </r>
  <r>
    <n v="996"/>
    <x v="0"/>
    <n v="5"/>
    <n v="16"/>
    <s v="Tuesday"/>
    <s v="May"/>
    <x v="42"/>
    <s v="CUST996"/>
    <x v="0"/>
    <x v="2"/>
    <n v="62"/>
    <x v="1"/>
    <n v="1"/>
    <n v="50"/>
    <n v="50"/>
    <n v="0.75"/>
    <n v="1"/>
    <n v="0.75"/>
  </r>
  <r>
    <n v="997"/>
    <x v="0"/>
    <n v="11"/>
    <n v="17"/>
    <s v="Friday"/>
    <s v="November"/>
    <x v="131"/>
    <s v="CUST997"/>
    <x v="0"/>
    <x v="2"/>
    <n v="52"/>
    <x v="0"/>
    <n v="3"/>
    <n v="30"/>
    <n v="90"/>
    <n v="1.3499999999999999"/>
    <n v="1.8"/>
    <n v="1.3499999999999999"/>
  </r>
  <r>
    <n v="998"/>
    <x v="0"/>
    <n v="10"/>
    <n v="29"/>
    <s v="Sunday"/>
    <s v="October"/>
    <x v="28"/>
    <s v="CUST998"/>
    <x v="1"/>
    <x v="1"/>
    <n v="23"/>
    <x v="0"/>
    <n v="4"/>
    <n v="25"/>
    <n v="100"/>
    <n v="1.5"/>
    <n v="2"/>
    <n v="1.5"/>
  </r>
  <r>
    <n v="999"/>
    <x v="0"/>
    <n v="12"/>
    <n v="5"/>
    <s v="Tuesday"/>
    <s v="December"/>
    <x v="59"/>
    <s v="CUST999"/>
    <x v="1"/>
    <x v="0"/>
    <n v="36"/>
    <x v="2"/>
    <n v="3"/>
    <n v="50"/>
    <n v="150"/>
    <n v="2.25"/>
    <n v="3"/>
    <n v="2.25"/>
  </r>
  <r>
    <n v="1000"/>
    <x v="0"/>
    <n v="4"/>
    <n v="12"/>
    <s v="Wednesday"/>
    <s v="April"/>
    <x v="22"/>
    <s v="CUST1000"/>
    <x v="0"/>
    <x v="0"/>
    <n v="47"/>
    <x v="2"/>
    <n v="4"/>
    <n v="30"/>
    <n v="120"/>
    <n v="1.7999999999999998"/>
    <n v="2.4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5FD8B-EFFB-461A-A612-4F86230F13F6}" name="PivotTable1" cacheId="2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7" firstHeaderRow="1" firstDataRow="2" firstDataCol="1"/>
  <pivotFields count="18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6" outline="0" showAll="0"/>
    <pivotField dataField="1" compact="0" numFmtId="166" outline="0" showAll="0"/>
    <pivotField compact="0" numFmtId="165" outline="0" showAll="0"/>
    <pivotField compact="0" numFmtId="165" outline="0" showAll="0"/>
    <pivotField compact="0" numFmtId="165" outline="0" showAll="0"/>
  </pivotFields>
  <rowFields count="1">
    <field x="8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Sum of Total Sales" fld="14" showDataAs="percentOfTotal" baseField="0" baseItem="0" numFmtId="1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6CD74-33EA-4E1C-8BB3-ED94EB590036}" name="PivotTable2" cacheId="2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6" outline="0" showAll="0"/>
    <pivotField dataField="1" compact="0" numFmtId="166" outline="0" showAll="0"/>
    <pivotField compact="0" numFmtId="165" outline="0" showAll="0"/>
    <pivotField compact="0" numFmtId="165" outline="0" showAll="0"/>
    <pivotField compact="0" numFmtId="165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Total Sales" fld="14" baseField="0" baseItem="0" numFmtId="166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BECA14BA-6965-4F43-BA97-B792914D8C51}" sourceName="Gender">
  <pivotTables>
    <pivotTable tabId="4" name="PivotTable2"/>
  </pivotTables>
  <data>
    <tabular pivotCacheId="20835592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FEEBBE68-971D-43B9-9B10-68F51CD8F05C}" sourceName="Generation">
  <pivotTables>
    <pivotTable tabId="4" name="PivotTable2"/>
  </pivotTables>
  <data>
    <tabular pivotCacheId="208355926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046ABABD-3699-4755-9E14-8BA0E49D690A}" sourceName="Product Category">
  <pivotTables>
    <pivotTable tabId="4" name="PivotTable2"/>
  </pivotTables>
  <data>
    <tabular pivotCacheId="208355926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C5A96797-42EE-4027-BF7E-20C3EF683560}" cache="Slicer_Gender" caption="Gender" rowHeight="228600"/>
  <slicer name="Generation" xr10:uid="{E7F68336-A1D9-499C-B8FC-0770FD1B49BB}" cache="Slicer_Generation" caption="Generation" rowHeight="228600"/>
  <slicer name="Product Category" xr10:uid="{6E8CB19D-303F-407E-AA49-D4FA5767FFD9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1"/>
  <sheetViews>
    <sheetView zoomScaleNormal="100" workbookViewId="0">
      <pane ySplit="1" topLeftCell="A978" activePane="bottomLeft" state="frozen"/>
      <selection pane="bottomLeft"/>
    </sheetView>
  </sheetViews>
  <sheetFormatPr defaultColWidth="11.25" defaultRowHeight="15.75"/>
  <cols>
    <col min="1" max="1" width="15.125" bestFit="1" customWidth="1"/>
    <col min="2" max="2" width="6.75" bestFit="1" customWidth="1"/>
    <col min="3" max="3" width="8.625" bestFit="1" customWidth="1"/>
    <col min="4" max="4" width="6.25" bestFit="1" customWidth="1"/>
    <col min="5" max="5" width="11.625" bestFit="1" customWidth="1"/>
    <col min="6" max="6" width="14" bestFit="1" customWidth="1"/>
    <col min="7" max="7" width="10.625" bestFit="1" customWidth="1"/>
    <col min="8" max="8" width="13.25" bestFit="1" customWidth="1"/>
    <col min="9" max="9" width="9.125" bestFit="1" customWidth="1"/>
    <col min="10" max="10" width="12.375" bestFit="1" customWidth="1"/>
    <col min="11" max="11" width="6.125" bestFit="1" customWidth="1"/>
    <col min="12" max="12" width="17.5" bestFit="1" customWidth="1"/>
    <col min="13" max="13" width="10.375" bestFit="1" customWidth="1"/>
    <col min="14" max="14" width="15.375" style="17" bestFit="1" customWidth="1"/>
    <col min="15" max="15" width="12.875" style="17" bestFit="1" customWidth="1"/>
    <col min="16" max="17" width="18.625" style="13" bestFit="1" customWidth="1"/>
    <col min="18" max="18" width="23" style="13" bestFit="1" customWidth="1"/>
    <col min="19" max="19" width="23" style="13" customWidth="1"/>
    <col min="20" max="20" width="15.5" style="13" bestFit="1" customWidth="1"/>
    <col min="21" max="21" width="10.875" bestFit="1" customWidth="1"/>
    <col min="22" max="23" width="10" bestFit="1" customWidth="1"/>
    <col min="24" max="24" width="15" bestFit="1" customWidth="1"/>
    <col min="25" max="26" width="10.875" bestFit="1" customWidth="1"/>
    <col min="27" max="27" width="10" bestFit="1" customWidth="1"/>
    <col min="28" max="28" width="7.5" bestFit="1" customWidth="1"/>
    <col min="29" max="29" width="15" bestFit="1" customWidth="1"/>
  </cols>
  <sheetData>
    <row r="1" spans="1:3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4" t="s">
        <v>13</v>
      </c>
      <c r="O1" s="15" t="s">
        <v>14</v>
      </c>
      <c r="P1" s="12" t="s">
        <v>15</v>
      </c>
      <c r="Q1" s="12" t="s">
        <v>16</v>
      </c>
      <c r="R1" s="12" t="s">
        <v>17</v>
      </c>
      <c r="S1" s="12"/>
      <c r="T1" s="12"/>
    </row>
    <row r="2" spans="1:30">
      <c r="A2" s="2">
        <v>1</v>
      </c>
      <c r="B2" s="4">
        <f>YEAR(G2)</f>
        <v>2023</v>
      </c>
      <c r="C2" s="4">
        <f>MONTH(G2)</f>
        <v>11</v>
      </c>
      <c r="D2" s="4">
        <f>DAY(G2)</f>
        <v>24</v>
      </c>
      <c r="E2" s="4" t="str">
        <f>TEXT(G2,"dddd")</f>
        <v>Friday</v>
      </c>
      <c r="F2" s="4" t="str">
        <f>TEXT(G2,"mmmm")</f>
        <v>November</v>
      </c>
      <c r="G2" s="3">
        <v>45254</v>
      </c>
      <c r="H2" s="4" t="s">
        <v>18</v>
      </c>
      <c r="I2" s="4" t="s">
        <v>19</v>
      </c>
      <c r="J2" s="4" t="str" cm="1">
        <f t="array" ref="J2">_xlfn.IFS(K2&lt;30,"Young Adult",K2&lt;50,"Adult",K2&gt;=50,"Senior")</f>
        <v>Adult</v>
      </c>
      <c r="K2" s="4">
        <v>34</v>
      </c>
      <c r="L2" s="4" t="s">
        <v>20</v>
      </c>
      <c r="M2" s="4">
        <v>3</v>
      </c>
      <c r="N2" s="16">
        <v>50</v>
      </c>
      <c r="O2" s="17">
        <f>M2*N2</f>
        <v>150</v>
      </c>
      <c r="P2" s="13">
        <f>$O2*$U$4</f>
        <v>2.25</v>
      </c>
      <c r="Q2" s="13">
        <f>$O2*$U$5</f>
        <v>3</v>
      </c>
      <c r="R2" s="13" cm="1">
        <f t="array" ref="R2">_xlfn.IFS(B2=2023,O2*$U$4,B2=2024,O2*$U$5)</f>
        <v>2.25</v>
      </c>
    </row>
    <row r="3" spans="1:30">
      <c r="A3" s="2">
        <v>2</v>
      </c>
      <c r="B3" s="4">
        <f t="shared" ref="B3:B66" si="0">YEAR(G3)</f>
        <v>2023</v>
      </c>
      <c r="C3" s="4">
        <f t="shared" ref="C3:C66" si="1">MONTH(G3)</f>
        <v>2</v>
      </c>
      <c r="D3" s="4">
        <f t="shared" ref="D3:D66" si="2">DAY(G3)</f>
        <v>27</v>
      </c>
      <c r="E3" s="4" t="str">
        <f t="shared" ref="E3:E66" si="3">TEXT(G3,"dddd")</f>
        <v>Monday</v>
      </c>
      <c r="F3" s="4" t="str">
        <f t="shared" ref="F3:F66" si="4">TEXT(G3,"mmmm")</f>
        <v>February</v>
      </c>
      <c r="G3" s="3">
        <v>44984</v>
      </c>
      <c r="H3" s="4" t="s">
        <v>21</v>
      </c>
      <c r="I3" s="4" t="s">
        <v>22</v>
      </c>
      <c r="J3" s="4" t="str" cm="1">
        <f t="array" ref="J3">_xlfn.IFS(K3&lt;30,"Young Adult",K3&lt;50,"Adult",K3&gt;=50,"Senior")</f>
        <v>Young Adult</v>
      </c>
      <c r="K3" s="4">
        <v>26</v>
      </c>
      <c r="L3" s="4" t="s">
        <v>23</v>
      </c>
      <c r="M3" s="4">
        <v>2</v>
      </c>
      <c r="N3" s="16">
        <v>500</v>
      </c>
      <c r="O3" s="17">
        <f>M3*N3</f>
        <v>1000</v>
      </c>
      <c r="P3" s="13">
        <f>$O3*$U$4</f>
        <v>15</v>
      </c>
      <c r="Q3" s="13">
        <f>$O3*$U$5</f>
        <v>20</v>
      </c>
      <c r="R3" s="13" cm="1">
        <f t="array" ref="R3">_xlfn.IFS(B3=2023,O3*$U$4,B3=2024,O3*$U$5)</f>
        <v>15</v>
      </c>
      <c r="T3"/>
      <c r="U3" s="23" t="s">
        <v>24</v>
      </c>
      <c r="Z3" s="37"/>
    </row>
    <row r="4" spans="1:30">
      <c r="A4" s="2">
        <v>3</v>
      </c>
      <c r="B4" s="4">
        <f t="shared" si="0"/>
        <v>2023</v>
      </c>
      <c r="C4" s="4">
        <f t="shared" si="1"/>
        <v>1</v>
      </c>
      <c r="D4" s="4">
        <f t="shared" si="2"/>
        <v>13</v>
      </c>
      <c r="E4" s="4" t="str">
        <f t="shared" si="3"/>
        <v>Friday</v>
      </c>
      <c r="F4" s="4" t="str">
        <f t="shared" si="4"/>
        <v>January</v>
      </c>
      <c r="G4" s="3">
        <v>44939</v>
      </c>
      <c r="H4" s="4" t="s">
        <v>25</v>
      </c>
      <c r="I4" s="4" t="s">
        <v>19</v>
      </c>
      <c r="J4" s="4" t="str" cm="1">
        <f t="array" ref="J4">_xlfn.IFS(K4&lt;30,"Young Adult",K4&lt;50,"Adult",K4&gt;=50,"Senior")</f>
        <v>Senior</v>
      </c>
      <c r="K4" s="4">
        <v>50</v>
      </c>
      <c r="L4" s="4" t="s">
        <v>26</v>
      </c>
      <c r="M4" s="4">
        <v>1</v>
      </c>
      <c r="N4" s="16">
        <v>30</v>
      </c>
      <c r="O4" s="17">
        <f>M4*N4</f>
        <v>30</v>
      </c>
      <c r="P4" s="13">
        <f>$O4*$U$4</f>
        <v>0.44999999999999996</v>
      </c>
      <c r="Q4" s="13">
        <f>$O4*$U$5</f>
        <v>0.6</v>
      </c>
      <c r="R4" s="13" cm="1">
        <f t="array" ref="R4">_xlfn.IFS(B4=2023,O4*$U$4,B4=2024,O4*$U$5)</f>
        <v>0.44999999999999996</v>
      </c>
      <c r="T4" s="26" t="s">
        <v>15</v>
      </c>
      <c r="U4" s="10">
        <v>1.4999999999999999E-2</v>
      </c>
    </row>
    <row r="5" spans="1:30">
      <c r="A5" s="2">
        <v>4</v>
      </c>
      <c r="B5" s="4">
        <f t="shared" si="0"/>
        <v>2023</v>
      </c>
      <c r="C5" s="4">
        <f t="shared" si="1"/>
        <v>5</v>
      </c>
      <c r="D5" s="4">
        <f t="shared" si="2"/>
        <v>21</v>
      </c>
      <c r="E5" s="4" t="str">
        <f t="shared" si="3"/>
        <v>Sunday</v>
      </c>
      <c r="F5" s="4" t="str">
        <f t="shared" si="4"/>
        <v>May</v>
      </c>
      <c r="G5" s="3">
        <v>45067</v>
      </c>
      <c r="H5" s="4" t="s">
        <v>27</v>
      </c>
      <c r="I5" s="4" t="s">
        <v>19</v>
      </c>
      <c r="J5" s="4" t="str" cm="1">
        <f t="array" ref="J5">_xlfn.IFS(K5&lt;30,"Young Adult",K5&lt;50,"Adult",K5&gt;=50,"Senior")</f>
        <v>Adult</v>
      </c>
      <c r="K5" s="4">
        <v>37</v>
      </c>
      <c r="L5" s="4" t="s">
        <v>23</v>
      </c>
      <c r="M5" s="4">
        <v>1</v>
      </c>
      <c r="N5" s="16">
        <v>500</v>
      </c>
      <c r="O5" s="17">
        <f>M5*N5</f>
        <v>500</v>
      </c>
      <c r="P5" s="13">
        <f>$O5*$U$4</f>
        <v>7.5</v>
      </c>
      <c r="Q5" s="13">
        <f>$O5*$U$5</f>
        <v>10</v>
      </c>
      <c r="R5" s="13" cm="1">
        <f t="array" ref="R5">_xlfn.IFS(B5=2023,O5*$U$4,B5=2024,O5*$U$5)</f>
        <v>7.5</v>
      </c>
      <c r="T5" s="21" t="s">
        <v>16</v>
      </c>
      <c r="U5" s="11">
        <v>0.02</v>
      </c>
    </row>
    <row r="6" spans="1:30">
      <c r="A6" s="2">
        <v>5</v>
      </c>
      <c r="B6" s="4">
        <f t="shared" si="0"/>
        <v>2023</v>
      </c>
      <c r="C6" s="4">
        <f t="shared" si="1"/>
        <v>5</v>
      </c>
      <c r="D6" s="4">
        <f t="shared" si="2"/>
        <v>6</v>
      </c>
      <c r="E6" s="4" t="str">
        <f t="shared" si="3"/>
        <v>Saturday</v>
      </c>
      <c r="F6" s="4" t="str">
        <f t="shared" si="4"/>
        <v>May</v>
      </c>
      <c r="G6" s="3">
        <v>45052</v>
      </c>
      <c r="H6" s="4" t="s">
        <v>28</v>
      </c>
      <c r="I6" s="4" t="s">
        <v>19</v>
      </c>
      <c r="J6" s="4" t="str" cm="1">
        <f t="array" ref="J6">_xlfn.IFS(K6&lt;30,"Young Adult",K6&lt;50,"Adult",K6&gt;=50,"Senior")</f>
        <v>Adult</v>
      </c>
      <c r="K6" s="4">
        <v>30</v>
      </c>
      <c r="L6" s="4" t="s">
        <v>20</v>
      </c>
      <c r="M6" s="4">
        <v>2</v>
      </c>
      <c r="N6" s="16">
        <v>50</v>
      </c>
      <c r="O6" s="17">
        <f>M6*N6</f>
        <v>100</v>
      </c>
      <c r="P6" s="13">
        <f>$O6*$U$4</f>
        <v>1.5</v>
      </c>
      <c r="Q6" s="13">
        <f>$O6*$U$5</f>
        <v>2</v>
      </c>
      <c r="R6" s="13" cm="1">
        <f t="array" ref="R6">_xlfn.IFS(B6=2023,O6*$U$4,B6=2024,O6*$U$5)</f>
        <v>1.5</v>
      </c>
      <c r="AC6" s="13"/>
      <c r="AD6" s="13"/>
    </row>
    <row r="7" spans="1:30">
      <c r="A7" s="2">
        <v>6</v>
      </c>
      <c r="B7" s="4">
        <f t="shared" si="0"/>
        <v>2023</v>
      </c>
      <c r="C7" s="4">
        <f t="shared" si="1"/>
        <v>4</v>
      </c>
      <c r="D7" s="4">
        <f t="shared" si="2"/>
        <v>25</v>
      </c>
      <c r="E7" s="4" t="str">
        <f t="shared" si="3"/>
        <v>Tuesday</v>
      </c>
      <c r="F7" s="4" t="str">
        <f t="shared" si="4"/>
        <v>April</v>
      </c>
      <c r="G7" s="3">
        <v>45041</v>
      </c>
      <c r="H7" s="4" t="s">
        <v>29</v>
      </c>
      <c r="I7" s="4" t="s">
        <v>22</v>
      </c>
      <c r="J7" s="4" t="str" cm="1">
        <f t="array" ref="J7">_xlfn.IFS(K7&lt;30,"Young Adult",K7&lt;50,"Adult",K7&gt;=50,"Senior")</f>
        <v>Adult</v>
      </c>
      <c r="K7" s="4">
        <v>45</v>
      </c>
      <c r="L7" s="4" t="s">
        <v>20</v>
      </c>
      <c r="M7" s="4">
        <v>1</v>
      </c>
      <c r="N7" s="16">
        <v>30</v>
      </c>
      <c r="O7" s="17">
        <f>M7*N7</f>
        <v>30</v>
      </c>
      <c r="P7" s="13">
        <f>$O7*$U$4</f>
        <v>0.44999999999999996</v>
      </c>
      <c r="Q7" s="13">
        <f>$O7*$U$5</f>
        <v>0.6</v>
      </c>
      <c r="R7" s="13" cm="1">
        <f t="array" ref="R7">_xlfn.IFS(B7=2023,O7*$U$4,B7=2024,O7*$U$5)</f>
        <v>0.44999999999999996</v>
      </c>
      <c r="AC7" s="13"/>
      <c r="AD7" s="13"/>
    </row>
    <row r="8" spans="1:30">
      <c r="A8" s="2">
        <v>7</v>
      </c>
      <c r="B8" s="4">
        <f t="shared" si="0"/>
        <v>2023</v>
      </c>
      <c r="C8" s="4">
        <f t="shared" si="1"/>
        <v>3</v>
      </c>
      <c r="D8" s="4">
        <f t="shared" si="2"/>
        <v>13</v>
      </c>
      <c r="E8" s="4" t="str">
        <f t="shared" si="3"/>
        <v>Monday</v>
      </c>
      <c r="F8" s="4" t="str">
        <f t="shared" si="4"/>
        <v>March</v>
      </c>
      <c r="G8" s="3">
        <v>44998</v>
      </c>
      <c r="H8" s="4" t="s">
        <v>30</v>
      </c>
      <c r="I8" s="4" t="s">
        <v>19</v>
      </c>
      <c r="J8" s="4" t="str" cm="1">
        <f t="array" ref="J8">_xlfn.IFS(K8&lt;30,"Young Adult",K8&lt;50,"Adult",K8&gt;=50,"Senior")</f>
        <v>Adult</v>
      </c>
      <c r="K8" s="4">
        <v>46</v>
      </c>
      <c r="L8" s="4" t="s">
        <v>23</v>
      </c>
      <c r="M8" s="4">
        <v>2</v>
      </c>
      <c r="N8" s="16">
        <v>25</v>
      </c>
      <c r="O8" s="17">
        <f>M8*N8</f>
        <v>50</v>
      </c>
      <c r="P8" s="13">
        <f>$O8*$U$4</f>
        <v>0.75</v>
      </c>
      <c r="Q8" s="13">
        <f>$O8*$U$5</f>
        <v>1</v>
      </c>
      <c r="R8" s="13" cm="1">
        <f t="array" ref="R8">_xlfn.IFS(B8=2023,O8*$U$4,B8=2024,O8*$U$5)</f>
        <v>0.75</v>
      </c>
    </row>
    <row r="9" spans="1:30">
      <c r="A9" s="2">
        <v>8</v>
      </c>
      <c r="B9" s="4">
        <f t="shared" si="0"/>
        <v>2023</v>
      </c>
      <c r="C9" s="4">
        <f t="shared" si="1"/>
        <v>2</v>
      </c>
      <c r="D9" s="4">
        <f t="shared" si="2"/>
        <v>22</v>
      </c>
      <c r="E9" s="4" t="str">
        <f t="shared" si="3"/>
        <v>Wednesday</v>
      </c>
      <c r="F9" s="4" t="str">
        <f t="shared" si="4"/>
        <v>February</v>
      </c>
      <c r="G9" s="3">
        <v>44979</v>
      </c>
      <c r="H9" s="4" t="s">
        <v>31</v>
      </c>
      <c r="I9" s="4" t="s">
        <v>19</v>
      </c>
      <c r="J9" s="4" t="str" cm="1">
        <f t="array" ref="J9">_xlfn.IFS(K9&lt;30,"Young Adult",K9&lt;50,"Adult",K9&gt;=50,"Senior")</f>
        <v>Adult</v>
      </c>
      <c r="K9" s="4">
        <v>30</v>
      </c>
      <c r="L9" s="4" t="s">
        <v>26</v>
      </c>
      <c r="M9" s="4">
        <v>4</v>
      </c>
      <c r="N9" s="16">
        <v>25</v>
      </c>
      <c r="O9" s="17">
        <f>M9*N9</f>
        <v>100</v>
      </c>
      <c r="P9" s="13">
        <f>$O9*$U$4</f>
        <v>1.5</v>
      </c>
      <c r="Q9" s="13">
        <f>$O9*$U$5</f>
        <v>2</v>
      </c>
      <c r="R9" s="13" cm="1">
        <f t="array" ref="R9">_xlfn.IFS(B9=2023,O9*$U$4,B9=2024,O9*$U$5)</f>
        <v>1.5</v>
      </c>
      <c r="U9" s="23" t="s">
        <v>32</v>
      </c>
      <c r="V9" s="22">
        <v>2023</v>
      </c>
      <c r="W9" s="22">
        <v>2024</v>
      </c>
      <c r="X9" s="23" t="s">
        <v>33</v>
      </c>
      <c r="Z9" s="23" t="s">
        <v>32</v>
      </c>
      <c r="AA9" s="22">
        <v>2023</v>
      </c>
      <c r="AB9" s="22">
        <v>2024</v>
      </c>
      <c r="AC9" s="23" t="s">
        <v>33</v>
      </c>
    </row>
    <row r="10" spans="1:30">
      <c r="A10" s="2">
        <v>9</v>
      </c>
      <c r="B10" s="4">
        <f t="shared" si="0"/>
        <v>2023</v>
      </c>
      <c r="C10" s="4">
        <f t="shared" si="1"/>
        <v>12</v>
      </c>
      <c r="D10" s="4">
        <f t="shared" si="2"/>
        <v>13</v>
      </c>
      <c r="E10" s="4" t="str">
        <f t="shared" si="3"/>
        <v>Wednesday</v>
      </c>
      <c r="F10" s="4" t="str">
        <f t="shared" si="4"/>
        <v>December</v>
      </c>
      <c r="G10" s="3">
        <v>45273</v>
      </c>
      <c r="H10" s="4" t="s">
        <v>34</v>
      </c>
      <c r="I10" s="4" t="s">
        <v>19</v>
      </c>
      <c r="J10" s="4" t="str" cm="1">
        <f t="array" ref="J10">_xlfn.IFS(K10&lt;30,"Young Adult",K10&lt;50,"Adult",K10&gt;=50,"Senior")</f>
        <v>Senior</v>
      </c>
      <c r="K10" s="4">
        <v>63</v>
      </c>
      <c r="L10" s="4" t="s">
        <v>26</v>
      </c>
      <c r="M10" s="4">
        <v>2</v>
      </c>
      <c r="N10" s="16">
        <v>300</v>
      </c>
      <c r="O10" s="17">
        <f>M10*N10</f>
        <v>600</v>
      </c>
      <c r="P10" s="13">
        <f>$O10*$U$4</f>
        <v>9</v>
      </c>
      <c r="Q10" s="13">
        <f>$O10*$U$5</f>
        <v>12</v>
      </c>
      <c r="R10" s="13" cm="1">
        <f t="array" ref="R10">_xlfn.IFS(B10=2023,O10*$U$4,B10=2024,O10*$U$5)</f>
        <v>9</v>
      </c>
      <c r="U10" s="20" t="s">
        <v>35</v>
      </c>
      <c r="V10" s="13">
        <f>SUM($P$2:$P$1001)</f>
        <v>6840</v>
      </c>
      <c r="W10" s="13">
        <f>SUM($Q$2:$Q$1001)</f>
        <v>9120.0000000000036</v>
      </c>
      <c r="X10" s="24">
        <f>V10+W10</f>
        <v>15960.000000000004</v>
      </c>
      <c r="Z10" s="20" t="s">
        <v>35</v>
      </c>
      <c r="AA10" s="13">
        <f>SUMIF($B:$B,"=2023",$R:$R)</f>
        <v>6817.0500000000011</v>
      </c>
      <c r="AB10" s="13">
        <f>SUMIF($B:$B,"=2024",$R:$R)</f>
        <v>30.6</v>
      </c>
      <c r="AC10" s="24">
        <f>AA10+AB10</f>
        <v>6847.6500000000015</v>
      </c>
    </row>
    <row r="11" spans="1:30">
      <c r="A11" s="2">
        <v>10</v>
      </c>
      <c r="B11" s="4">
        <f t="shared" si="0"/>
        <v>2023</v>
      </c>
      <c r="C11" s="4">
        <f t="shared" si="1"/>
        <v>10</v>
      </c>
      <c r="D11" s="4">
        <f t="shared" si="2"/>
        <v>7</v>
      </c>
      <c r="E11" s="4" t="str">
        <f t="shared" si="3"/>
        <v>Saturday</v>
      </c>
      <c r="F11" s="4" t="str">
        <f t="shared" si="4"/>
        <v>October</v>
      </c>
      <c r="G11" s="3">
        <v>45206</v>
      </c>
      <c r="H11" s="4" t="s">
        <v>36</v>
      </c>
      <c r="I11" s="4" t="s">
        <v>22</v>
      </c>
      <c r="J11" s="4" t="str" cm="1">
        <f t="array" ref="J11">_xlfn.IFS(K11&lt;30,"Young Adult",K11&lt;50,"Adult",K11&gt;=50,"Senior")</f>
        <v>Senior</v>
      </c>
      <c r="K11" s="4">
        <v>52</v>
      </c>
      <c r="L11" s="4" t="s">
        <v>23</v>
      </c>
      <c r="M11" s="4">
        <v>4</v>
      </c>
      <c r="N11" s="16">
        <v>50</v>
      </c>
      <c r="O11" s="17">
        <f>M11*N11</f>
        <v>200</v>
      </c>
      <c r="P11" s="13">
        <f>$O11*$U$4</f>
        <v>3</v>
      </c>
      <c r="Q11" s="13">
        <f>$O11*$U$5</f>
        <v>4</v>
      </c>
      <c r="R11" s="13" cm="1">
        <f t="array" ref="R11">_xlfn.IFS(B11=2023,O11*$U$4,B11=2024,O11*$U$5)</f>
        <v>3</v>
      </c>
      <c r="U11" s="21" t="s">
        <v>37</v>
      </c>
      <c r="V11" s="19">
        <f>AVERAGE($P$2:$P$1001)</f>
        <v>6.84</v>
      </c>
      <c r="W11" s="19">
        <f>AVERAGE($Q$2:$Q$1001)</f>
        <v>9.1200000000000028</v>
      </c>
      <c r="X11" s="25">
        <f>AVERAGE(V11:W11)</f>
        <v>7.9800000000000013</v>
      </c>
      <c r="Z11" s="21" t="s">
        <v>37</v>
      </c>
      <c r="AA11" s="19">
        <f>AVERAGEIF($B:$B,"=2023",$R:$R)</f>
        <v>6.8307114228456927</v>
      </c>
      <c r="AB11" s="19">
        <f>AVERAGEIF($B:$B,"=2024",$R:$R)</f>
        <v>15.3</v>
      </c>
      <c r="AC11" s="25">
        <f>AVERAGE(AA11:AB11)</f>
        <v>11.065355711422846</v>
      </c>
    </row>
    <row r="12" spans="1:30">
      <c r="A12" s="2">
        <v>11</v>
      </c>
      <c r="B12" s="4">
        <f t="shared" si="0"/>
        <v>2023</v>
      </c>
      <c r="C12" s="4">
        <f t="shared" si="1"/>
        <v>2</v>
      </c>
      <c r="D12" s="4">
        <f t="shared" si="2"/>
        <v>14</v>
      </c>
      <c r="E12" s="4" t="str">
        <f t="shared" si="3"/>
        <v>Tuesday</v>
      </c>
      <c r="F12" s="4" t="str">
        <f t="shared" si="4"/>
        <v>February</v>
      </c>
      <c r="G12" s="3">
        <v>44971</v>
      </c>
      <c r="H12" s="4" t="s">
        <v>38</v>
      </c>
      <c r="I12" s="4" t="s">
        <v>19</v>
      </c>
      <c r="J12" s="4" t="str" cm="1">
        <f t="array" ref="J12">_xlfn.IFS(K12&lt;30,"Young Adult",K12&lt;50,"Adult",K12&gt;=50,"Senior")</f>
        <v>Young Adult</v>
      </c>
      <c r="K12" s="4">
        <v>23</v>
      </c>
      <c r="L12" s="4" t="s">
        <v>23</v>
      </c>
      <c r="M12" s="4">
        <v>2</v>
      </c>
      <c r="N12" s="16">
        <v>50</v>
      </c>
      <c r="O12" s="17">
        <f>M12*N12</f>
        <v>100</v>
      </c>
      <c r="P12" s="13">
        <f>$O12*$U$4</f>
        <v>1.5</v>
      </c>
      <c r="Q12" s="13">
        <f>$O12*$U$5</f>
        <v>2</v>
      </c>
      <c r="R12" s="13" cm="1">
        <f t="array" ref="R12">_xlfn.IFS(B12=2023,O12*$U$4,B12=2024,O12*$U$5)</f>
        <v>1.5</v>
      </c>
    </row>
    <row r="13" spans="1:30">
      <c r="A13" s="2">
        <v>12</v>
      </c>
      <c r="B13" s="4">
        <f t="shared" si="0"/>
        <v>2023</v>
      </c>
      <c r="C13" s="4">
        <f t="shared" si="1"/>
        <v>10</v>
      </c>
      <c r="D13" s="4">
        <f t="shared" si="2"/>
        <v>30</v>
      </c>
      <c r="E13" s="4" t="str">
        <f t="shared" si="3"/>
        <v>Monday</v>
      </c>
      <c r="F13" s="4" t="str">
        <f t="shared" si="4"/>
        <v>October</v>
      </c>
      <c r="G13" s="3">
        <v>45229</v>
      </c>
      <c r="H13" s="4" t="s">
        <v>39</v>
      </c>
      <c r="I13" s="4" t="s">
        <v>19</v>
      </c>
      <c r="J13" s="4" t="str" cm="1">
        <f t="array" ref="J13">_xlfn.IFS(K13&lt;30,"Young Adult",K13&lt;50,"Adult",K13&gt;=50,"Senior")</f>
        <v>Adult</v>
      </c>
      <c r="K13" s="4">
        <v>35</v>
      </c>
      <c r="L13" s="4" t="s">
        <v>20</v>
      </c>
      <c r="M13" s="4">
        <v>3</v>
      </c>
      <c r="N13" s="16">
        <v>25</v>
      </c>
      <c r="O13" s="17">
        <f>M13*N13</f>
        <v>75</v>
      </c>
      <c r="P13" s="13">
        <f>$O13*$U$4</f>
        <v>1.125</v>
      </c>
      <c r="Q13" s="13">
        <f>$O13*$U$5</f>
        <v>1.5</v>
      </c>
      <c r="R13" s="13" cm="1">
        <f t="array" ref="R13">_xlfn.IFS(B13=2023,O13*$U$4,B13=2024,O13*$U$5)</f>
        <v>1.125</v>
      </c>
    </row>
    <row r="14" spans="1:30">
      <c r="A14" s="2">
        <v>13</v>
      </c>
      <c r="B14" s="4">
        <f t="shared" si="0"/>
        <v>2023</v>
      </c>
      <c r="C14" s="4">
        <f t="shared" si="1"/>
        <v>8</v>
      </c>
      <c r="D14" s="4">
        <f t="shared" si="2"/>
        <v>5</v>
      </c>
      <c r="E14" s="4" t="str">
        <f t="shared" si="3"/>
        <v>Saturday</v>
      </c>
      <c r="F14" s="4" t="str">
        <f t="shared" si="4"/>
        <v>August</v>
      </c>
      <c r="G14" s="3">
        <v>45143</v>
      </c>
      <c r="H14" s="4" t="s">
        <v>40</v>
      </c>
      <c r="I14" s="4" t="s">
        <v>19</v>
      </c>
      <c r="J14" s="4" t="str" cm="1">
        <f t="array" ref="J14">_xlfn.IFS(K14&lt;30,"Young Adult",K14&lt;50,"Adult",K14&gt;=50,"Senior")</f>
        <v>Young Adult</v>
      </c>
      <c r="K14" s="4">
        <v>22</v>
      </c>
      <c r="L14" s="4" t="s">
        <v>26</v>
      </c>
      <c r="M14" s="4">
        <v>3</v>
      </c>
      <c r="N14" s="16">
        <v>500</v>
      </c>
      <c r="O14" s="17">
        <f>M14*N14</f>
        <v>1500</v>
      </c>
      <c r="P14" s="13">
        <f>$O14*$U$4</f>
        <v>22.5</v>
      </c>
      <c r="Q14" s="13">
        <f>$O14*$U$5</f>
        <v>30</v>
      </c>
      <c r="R14" s="13" cm="1">
        <f t="array" ref="R14">_xlfn.IFS(B14=2023,O14*$U$4,B14=2024,O14*$U$5)</f>
        <v>22.5</v>
      </c>
      <c r="V14" s="46" t="s">
        <v>12</v>
      </c>
      <c r="W14" s="47"/>
      <c r="Y14" s="48" t="s">
        <v>12</v>
      </c>
      <c r="Z14" s="49"/>
      <c r="AA14" s="50"/>
    </row>
    <row r="15" spans="1:30">
      <c r="A15" s="2">
        <v>14</v>
      </c>
      <c r="B15" s="4">
        <f t="shared" si="0"/>
        <v>2023</v>
      </c>
      <c r="C15" s="4">
        <f t="shared" si="1"/>
        <v>1</v>
      </c>
      <c r="D15" s="4">
        <f t="shared" si="2"/>
        <v>17</v>
      </c>
      <c r="E15" s="4" t="str">
        <f t="shared" si="3"/>
        <v>Tuesday</v>
      </c>
      <c r="F15" s="4" t="str">
        <f t="shared" si="4"/>
        <v>January</v>
      </c>
      <c r="G15" s="3">
        <v>44943</v>
      </c>
      <c r="H15" s="4" t="s">
        <v>41</v>
      </c>
      <c r="I15" s="4" t="s">
        <v>19</v>
      </c>
      <c r="J15" s="4" t="str" cm="1">
        <f t="array" ref="J15">_xlfn.IFS(K15&lt;30,"Young Adult",K15&lt;50,"Adult",K15&gt;=50,"Senior")</f>
        <v>Senior</v>
      </c>
      <c r="K15" s="4">
        <v>64</v>
      </c>
      <c r="L15" s="4" t="s">
        <v>23</v>
      </c>
      <c r="M15" s="4">
        <v>4</v>
      </c>
      <c r="N15" s="16">
        <v>30</v>
      </c>
      <c r="O15" s="17">
        <f>M15*N15</f>
        <v>120</v>
      </c>
      <c r="P15" s="13">
        <f>$O15*$U$4</f>
        <v>1.7999999999999998</v>
      </c>
      <c r="Q15" s="13">
        <f>$O15*$U$5</f>
        <v>2.4</v>
      </c>
      <c r="R15" s="13" cm="1">
        <f t="array" ref="R15">_xlfn.IFS(B15=2023,O15*$U$4,B15=2024,O15*$U$5)</f>
        <v>1.7999999999999998</v>
      </c>
      <c r="T15" s="28"/>
      <c r="U15" s="34" t="s">
        <v>14</v>
      </c>
      <c r="V15" s="35" t="s">
        <v>19</v>
      </c>
      <c r="W15" s="36" t="s">
        <v>22</v>
      </c>
      <c r="X15" s="34" t="s">
        <v>42</v>
      </c>
      <c r="Y15" s="40" t="s">
        <v>43</v>
      </c>
      <c r="Z15" s="45" t="s">
        <v>44</v>
      </c>
      <c r="AA15" s="40" t="s">
        <v>45</v>
      </c>
    </row>
    <row r="16" spans="1:30">
      <c r="A16" s="2">
        <v>15</v>
      </c>
      <c r="B16" s="4">
        <f t="shared" si="0"/>
        <v>2023</v>
      </c>
      <c r="C16" s="4">
        <f t="shared" si="1"/>
        <v>1</v>
      </c>
      <c r="D16" s="4">
        <f t="shared" si="2"/>
        <v>16</v>
      </c>
      <c r="E16" s="4" t="str">
        <f t="shared" si="3"/>
        <v>Monday</v>
      </c>
      <c r="F16" s="4" t="str">
        <f t="shared" si="4"/>
        <v>January</v>
      </c>
      <c r="G16" s="3">
        <v>44942</v>
      </c>
      <c r="H16" s="4" t="s">
        <v>46</v>
      </c>
      <c r="I16" s="4" t="s">
        <v>22</v>
      </c>
      <c r="J16" s="4" t="str" cm="1">
        <f t="array" ref="J16">_xlfn.IFS(K16&lt;30,"Young Adult",K16&lt;50,"Adult",K16&gt;=50,"Senior")</f>
        <v>Adult</v>
      </c>
      <c r="K16" s="4">
        <v>42</v>
      </c>
      <c r="L16" s="4" t="s">
        <v>26</v>
      </c>
      <c r="M16" s="4">
        <v>4</v>
      </c>
      <c r="N16" s="16">
        <v>500</v>
      </c>
      <c r="O16" s="17">
        <f>M16*N16</f>
        <v>2000</v>
      </c>
      <c r="P16" s="13">
        <f>$O16*$U$4</f>
        <v>30</v>
      </c>
      <c r="Q16" s="13">
        <f>$O16*$U$5</f>
        <v>40</v>
      </c>
      <c r="R16" s="13" cm="1">
        <f t="array" ref="R16">_xlfn.IFS(B16=2023,O16*$U$4,B16=2024,O16*$U$5)</f>
        <v>30</v>
      </c>
      <c r="T16" s="41" t="s">
        <v>47</v>
      </c>
      <c r="U16" s="15">
        <f>SUM(O:O)</f>
        <v>456000</v>
      </c>
      <c r="V16" s="42">
        <f>SUMIF(I:I,V15,M:M)</f>
        <v>1216</v>
      </c>
      <c r="W16" s="43">
        <f>SUMIF(I:I,W15,O:O)</f>
        <v>232840</v>
      </c>
      <c r="X16" s="12">
        <f>AVERAGE(O:O)</f>
        <v>456</v>
      </c>
      <c r="Y16" s="39">
        <f>SUMIF($J:$J,Y15,$M:$M)</f>
        <v>625</v>
      </c>
      <c r="Z16" s="44">
        <f t="shared" ref="Z16:AA16" si="5">SUMIF($J:$J,Z15,$M:$M)</f>
        <v>1062</v>
      </c>
      <c r="AA16" s="39">
        <f t="shared" si="5"/>
        <v>827</v>
      </c>
    </row>
    <row r="17" spans="1:27">
      <c r="A17" s="2">
        <v>16</v>
      </c>
      <c r="B17" s="4">
        <f t="shared" si="0"/>
        <v>2023</v>
      </c>
      <c r="C17" s="4">
        <f t="shared" si="1"/>
        <v>2</v>
      </c>
      <c r="D17" s="4">
        <f t="shared" si="2"/>
        <v>17</v>
      </c>
      <c r="E17" s="4" t="str">
        <f t="shared" si="3"/>
        <v>Friday</v>
      </c>
      <c r="F17" s="4" t="str">
        <f t="shared" si="4"/>
        <v>February</v>
      </c>
      <c r="G17" s="3">
        <v>44974</v>
      </c>
      <c r="H17" s="4" t="s">
        <v>48</v>
      </c>
      <c r="I17" s="4" t="s">
        <v>19</v>
      </c>
      <c r="J17" s="4" t="str" cm="1">
        <f t="array" ref="J17">_xlfn.IFS(K17&lt;30,"Young Adult",K17&lt;50,"Adult",K17&gt;=50,"Senior")</f>
        <v>Young Adult</v>
      </c>
      <c r="K17" s="4">
        <v>19</v>
      </c>
      <c r="L17" s="4" t="s">
        <v>23</v>
      </c>
      <c r="M17" s="4">
        <v>3</v>
      </c>
      <c r="N17" s="16">
        <v>500</v>
      </c>
      <c r="O17" s="17">
        <f>M17*N17</f>
        <v>1500</v>
      </c>
      <c r="P17" s="13">
        <f>$O17*$U$4</f>
        <v>22.5</v>
      </c>
      <c r="Q17" s="13">
        <f>$O17*$U$5</f>
        <v>30</v>
      </c>
      <c r="R17" s="13" cm="1">
        <f t="array" ref="R17">_xlfn.IFS(B17=2023,O17*$U$4,B17=2024,O17*$U$5)</f>
        <v>22.5</v>
      </c>
      <c r="T17" s="20" t="s">
        <v>20</v>
      </c>
      <c r="U17" s="17">
        <f>SUMIF(L:L,"Beauty",O:O)</f>
        <v>143515</v>
      </c>
      <c r="V17" s="29">
        <f>SUMIFS(M:M,L:L,$T17,I:I,$V$15)</f>
        <v>353</v>
      </c>
      <c r="W17" s="30">
        <f>SUMIFS(M:M,L:L,$T17,I:I,$W$15)</f>
        <v>418</v>
      </c>
      <c r="X17" s="13">
        <f>AVERAGEIF(L:L,T17,O:O)</f>
        <v>467.47557003257327</v>
      </c>
      <c r="Y17" s="20">
        <f>SUMIFS($M:$M,$L:$L,$T17,$J:$J,$Y$15)</f>
        <v>215</v>
      </c>
      <c r="Z17">
        <f>SUMIFS($M:$M,$L:$L,$T17,$J:$J,$Z$15)</f>
        <v>340</v>
      </c>
      <c r="AA17" s="20">
        <f>SUMIFS($M:$M,$L:$L,$T17,$J:$J,$AA$15)</f>
        <v>216</v>
      </c>
    </row>
    <row r="18" spans="1:27">
      <c r="A18" s="2">
        <v>17</v>
      </c>
      <c r="B18" s="4">
        <f t="shared" si="0"/>
        <v>2023</v>
      </c>
      <c r="C18" s="4">
        <f t="shared" si="1"/>
        <v>4</v>
      </c>
      <c r="D18" s="4">
        <f t="shared" si="2"/>
        <v>22</v>
      </c>
      <c r="E18" s="4" t="str">
        <f t="shared" si="3"/>
        <v>Saturday</v>
      </c>
      <c r="F18" s="4" t="str">
        <f t="shared" si="4"/>
        <v>April</v>
      </c>
      <c r="G18" s="3">
        <v>45038</v>
      </c>
      <c r="H18" s="4" t="s">
        <v>49</v>
      </c>
      <c r="I18" s="4" t="s">
        <v>22</v>
      </c>
      <c r="J18" s="4" t="str" cm="1">
        <f t="array" ref="J18">_xlfn.IFS(K18&lt;30,"Young Adult",K18&lt;50,"Adult",K18&gt;=50,"Senior")</f>
        <v>Young Adult</v>
      </c>
      <c r="K18" s="4">
        <v>27</v>
      </c>
      <c r="L18" s="4" t="s">
        <v>23</v>
      </c>
      <c r="M18" s="4">
        <v>4</v>
      </c>
      <c r="N18" s="16">
        <v>25</v>
      </c>
      <c r="O18" s="17">
        <f>M18*N18</f>
        <v>100</v>
      </c>
      <c r="P18" s="13">
        <f>$O18*$U$4</f>
        <v>1.5</v>
      </c>
      <c r="Q18" s="13">
        <f>$O18*$U$5</f>
        <v>2</v>
      </c>
      <c r="R18" s="13" cm="1">
        <f t="array" ref="R18">_xlfn.IFS(B18=2023,O18*$U$4,B18=2024,O18*$U$5)</f>
        <v>1.5</v>
      </c>
      <c r="T18" s="20" t="s">
        <v>26</v>
      </c>
      <c r="U18" s="17">
        <f>SUMIF(L:L,"Electronics",O:O)</f>
        <v>156905</v>
      </c>
      <c r="V18" s="29">
        <f>SUMIFS(M:M,L:L,$T18,I:I,$V$15)</f>
        <v>410</v>
      </c>
      <c r="W18" s="30">
        <f>SUMIFS(M:M,L:L,$T18,I:I,$W$15)</f>
        <v>439</v>
      </c>
      <c r="X18" s="13">
        <f>AVERAGEIF(L:L,T18,O:O)</f>
        <v>458.78654970760232</v>
      </c>
      <c r="Y18" s="20">
        <f>SUMIFS(M:M,L:L,$T18,J:J,$Y$15)</f>
        <v>196</v>
      </c>
      <c r="Z18">
        <f>SUMIFS($M:$M,$L:$L,$T18,$J:$J,$Z$15)</f>
        <v>340</v>
      </c>
      <c r="AA18" s="20">
        <f>SUMIFS($M:$M,$L:$L,$T18,$J:$J,$AA$15)</f>
        <v>313</v>
      </c>
    </row>
    <row r="19" spans="1:27">
      <c r="A19" s="2">
        <v>18</v>
      </c>
      <c r="B19" s="4">
        <f t="shared" si="0"/>
        <v>2023</v>
      </c>
      <c r="C19" s="4">
        <f t="shared" si="1"/>
        <v>4</v>
      </c>
      <c r="D19" s="4">
        <f t="shared" si="2"/>
        <v>30</v>
      </c>
      <c r="E19" s="4" t="str">
        <f t="shared" si="3"/>
        <v>Sunday</v>
      </c>
      <c r="F19" s="4" t="str">
        <f t="shared" si="4"/>
        <v>April</v>
      </c>
      <c r="G19" s="3">
        <v>45046</v>
      </c>
      <c r="H19" s="4" t="s">
        <v>50</v>
      </c>
      <c r="I19" s="4" t="s">
        <v>22</v>
      </c>
      <c r="J19" s="4" t="str" cm="1">
        <f t="array" ref="J19">_xlfn.IFS(K19&lt;30,"Young Adult",K19&lt;50,"Adult",K19&gt;=50,"Senior")</f>
        <v>Adult</v>
      </c>
      <c r="K19" s="4">
        <v>47</v>
      </c>
      <c r="L19" s="4" t="s">
        <v>26</v>
      </c>
      <c r="M19" s="4">
        <v>2</v>
      </c>
      <c r="N19" s="16">
        <v>25</v>
      </c>
      <c r="O19" s="17">
        <f>M19*N19</f>
        <v>50</v>
      </c>
      <c r="P19" s="13">
        <f>$O19*$U$4</f>
        <v>0.75</v>
      </c>
      <c r="Q19" s="13">
        <f>$O19*$U$5</f>
        <v>1</v>
      </c>
      <c r="R19" s="13" cm="1">
        <f t="array" ref="R19">_xlfn.IFS(B19=2023,O19*$U$4,B19=2024,O19*$U$5)</f>
        <v>0.75</v>
      </c>
      <c r="T19" s="21" t="s">
        <v>23</v>
      </c>
      <c r="U19" s="27">
        <f>SUMIF(L:L,"Clothing",O:O)</f>
        <v>155580</v>
      </c>
      <c r="V19" s="31">
        <f>SUMIFS(M:M,L:L,$T19,I:I,$V$15)</f>
        <v>453</v>
      </c>
      <c r="W19" s="32">
        <f>SUMIFS(M:M,L:L,$T19,I:I,$W$15)</f>
        <v>441</v>
      </c>
      <c r="X19" s="19">
        <f>AVERAGEIF(L:L,T19,O:O)</f>
        <v>443.24786324786322</v>
      </c>
      <c r="Y19" s="21">
        <f>SUMIFS(M:M,L:L,$T19,J:J,$Y$15)</f>
        <v>214</v>
      </c>
      <c r="Z19" s="38">
        <f>SUMIFS($M:$M,$L:$L,$T19,$J:$J,$Z$15)</f>
        <v>382</v>
      </c>
      <c r="AA19" s="21">
        <f>SUMIFS($M:$M,$L:$L,$T19,$J:$J,$AA$15)</f>
        <v>298</v>
      </c>
    </row>
    <row r="20" spans="1:27">
      <c r="A20" s="2">
        <v>19</v>
      </c>
      <c r="B20" s="4">
        <f t="shared" si="0"/>
        <v>2023</v>
      </c>
      <c r="C20" s="4">
        <f t="shared" si="1"/>
        <v>9</v>
      </c>
      <c r="D20" s="4">
        <f t="shared" si="2"/>
        <v>16</v>
      </c>
      <c r="E20" s="4" t="str">
        <f t="shared" si="3"/>
        <v>Saturday</v>
      </c>
      <c r="F20" s="4" t="str">
        <f t="shared" si="4"/>
        <v>September</v>
      </c>
      <c r="G20" s="3">
        <v>45185</v>
      </c>
      <c r="H20" s="4" t="s">
        <v>51</v>
      </c>
      <c r="I20" s="4" t="s">
        <v>22</v>
      </c>
      <c r="J20" s="4" t="str" cm="1">
        <f t="array" ref="J20">_xlfn.IFS(K20&lt;30,"Young Adult",K20&lt;50,"Adult",K20&gt;=50,"Senior")</f>
        <v>Senior</v>
      </c>
      <c r="K20" s="4">
        <v>62</v>
      </c>
      <c r="L20" s="4" t="s">
        <v>23</v>
      </c>
      <c r="M20" s="4">
        <v>2</v>
      </c>
      <c r="N20" s="16">
        <v>25</v>
      </c>
      <c r="O20" s="17">
        <f>M20*N20</f>
        <v>50</v>
      </c>
      <c r="P20" s="13">
        <f>$O20*$U$4</f>
        <v>0.75</v>
      </c>
      <c r="Q20" s="13">
        <f>$O20*$U$5</f>
        <v>1</v>
      </c>
      <c r="R20" s="13" cm="1">
        <f t="array" ref="R20">_xlfn.IFS(B20=2023,O20*$U$4,B20=2024,O20*$U$5)</f>
        <v>0.75</v>
      </c>
    </row>
    <row r="21" spans="1:27">
      <c r="A21" s="2">
        <v>20</v>
      </c>
      <c r="B21" s="4">
        <f t="shared" si="0"/>
        <v>2023</v>
      </c>
      <c r="C21" s="4">
        <f t="shared" si="1"/>
        <v>11</v>
      </c>
      <c r="D21" s="4">
        <f t="shared" si="2"/>
        <v>5</v>
      </c>
      <c r="E21" s="4" t="str">
        <f t="shared" si="3"/>
        <v>Sunday</v>
      </c>
      <c r="F21" s="4" t="str">
        <f t="shared" si="4"/>
        <v>November</v>
      </c>
      <c r="G21" s="3">
        <v>45235</v>
      </c>
      <c r="H21" s="4" t="s">
        <v>52</v>
      </c>
      <c r="I21" s="4" t="s">
        <v>19</v>
      </c>
      <c r="J21" s="4" t="str" cm="1">
        <f t="array" ref="J21">_xlfn.IFS(K21&lt;30,"Young Adult",K21&lt;50,"Adult",K21&gt;=50,"Senior")</f>
        <v>Young Adult</v>
      </c>
      <c r="K21" s="4">
        <v>22</v>
      </c>
      <c r="L21" s="4" t="s">
        <v>23</v>
      </c>
      <c r="M21" s="4">
        <v>3</v>
      </c>
      <c r="N21" s="16">
        <v>300</v>
      </c>
      <c r="O21" s="17">
        <f>M21*N21</f>
        <v>900</v>
      </c>
      <c r="P21" s="13">
        <f>$O21*$U$4</f>
        <v>13.5</v>
      </c>
      <c r="Q21" s="13">
        <f>$O21*$U$5</f>
        <v>18</v>
      </c>
      <c r="R21" s="13" cm="1">
        <f t="array" ref="R21">_xlfn.IFS(B21=2023,O21*$U$4,B21=2024,O21*$U$5)</f>
        <v>13.5</v>
      </c>
    </row>
    <row r="22" spans="1:27">
      <c r="A22" s="2">
        <v>21</v>
      </c>
      <c r="B22" s="4">
        <f t="shared" si="0"/>
        <v>2023</v>
      </c>
      <c r="C22" s="4">
        <f t="shared" si="1"/>
        <v>1</v>
      </c>
      <c r="D22" s="4">
        <f t="shared" si="2"/>
        <v>14</v>
      </c>
      <c r="E22" s="4" t="str">
        <f t="shared" si="3"/>
        <v>Saturday</v>
      </c>
      <c r="F22" s="4" t="str">
        <f t="shared" si="4"/>
        <v>January</v>
      </c>
      <c r="G22" s="3">
        <v>44940</v>
      </c>
      <c r="H22" s="4" t="s">
        <v>53</v>
      </c>
      <c r="I22" s="4" t="s">
        <v>22</v>
      </c>
      <c r="J22" s="4" t="str" cm="1">
        <f t="array" ref="J22">_xlfn.IFS(K22&lt;30,"Young Adult",K22&lt;50,"Adult",K22&gt;=50,"Senior")</f>
        <v>Senior</v>
      </c>
      <c r="K22" s="4">
        <v>50</v>
      </c>
      <c r="L22" s="4" t="s">
        <v>20</v>
      </c>
      <c r="M22" s="4">
        <v>1</v>
      </c>
      <c r="N22" s="16">
        <v>500</v>
      </c>
      <c r="O22" s="17">
        <f>M22*N22</f>
        <v>500</v>
      </c>
      <c r="P22" s="13">
        <f>$O22*$U$4</f>
        <v>7.5</v>
      </c>
      <c r="Q22" s="13">
        <f>$O22*$U$5</f>
        <v>10</v>
      </c>
      <c r="R22" s="13" cm="1">
        <f t="array" ref="R22">_xlfn.IFS(B22=2023,O22*$U$4,B22=2024,O22*$U$5)</f>
        <v>7.5</v>
      </c>
    </row>
    <row r="23" spans="1:27">
      <c r="A23" s="2">
        <v>22</v>
      </c>
      <c r="B23" s="4">
        <f t="shared" si="0"/>
        <v>2023</v>
      </c>
      <c r="C23" s="4">
        <f t="shared" si="1"/>
        <v>10</v>
      </c>
      <c r="D23" s="4">
        <f t="shared" si="2"/>
        <v>15</v>
      </c>
      <c r="E23" s="4" t="str">
        <f t="shared" si="3"/>
        <v>Sunday</v>
      </c>
      <c r="F23" s="4" t="str">
        <f t="shared" si="4"/>
        <v>October</v>
      </c>
      <c r="G23" s="3">
        <v>45214</v>
      </c>
      <c r="H23" s="4" t="s">
        <v>54</v>
      </c>
      <c r="I23" s="4" t="s">
        <v>19</v>
      </c>
      <c r="J23" s="4" t="str" cm="1">
        <f t="array" ref="J23">_xlfn.IFS(K23&lt;30,"Young Adult",K23&lt;50,"Adult",K23&gt;=50,"Senior")</f>
        <v>Young Adult</v>
      </c>
      <c r="K23" s="4">
        <v>18</v>
      </c>
      <c r="L23" s="4" t="s">
        <v>23</v>
      </c>
      <c r="M23" s="4">
        <v>2</v>
      </c>
      <c r="N23" s="16">
        <v>50</v>
      </c>
      <c r="O23" s="17">
        <f>M23*N23</f>
        <v>100</v>
      </c>
      <c r="P23" s="13">
        <f>$O23*$U$4</f>
        <v>1.5</v>
      </c>
      <c r="Q23" s="13">
        <f>$O23*$U$5</f>
        <v>2</v>
      </c>
      <c r="R23" s="13" cm="1">
        <f t="array" ref="R23">_xlfn.IFS(B23=2023,O23*$U$4,B23=2024,O23*$U$5)</f>
        <v>1.5</v>
      </c>
    </row>
    <row r="24" spans="1:27">
      <c r="A24" s="2">
        <v>23</v>
      </c>
      <c r="B24" s="4">
        <f t="shared" si="0"/>
        <v>2023</v>
      </c>
      <c r="C24" s="4">
        <f t="shared" si="1"/>
        <v>4</v>
      </c>
      <c r="D24" s="4">
        <f t="shared" si="2"/>
        <v>12</v>
      </c>
      <c r="E24" s="4" t="str">
        <f t="shared" si="3"/>
        <v>Wednesday</v>
      </c>
      <c r="F24" s="4" t="str">
        <f t="shared" si="4"/>
        <v>April</v>
      </c>
      <c r="G24" s="3">
        <v>45028</v>
      </c>
      <c r="H24" s="4" t="s">
        <v>55</v>
      </c>
      <c r="I24" s="4" t="s">
        <v>22</v>
      </c>
      <c r="J24" s="4" t="str" cm="1">
        <f t="array" ref="J24">_xlfn.IFS(K24&lt;30,"Young Adult",K24&lt;50,"Adult",K24&gt;=50,"Senior")</f>
        <v>Adult</v>
      </c>
      <c r="K24" s="4">
        <v>35</v>
      </c>
      <c r="L24" s="4" t="s">
        <v>23</v>
      </c>
      <c r="M24" s="4">
        <v>4</v>
      </c>
      <c r="N24" s="16">
        <v>30</v>
      </c>
      <c r="O24" s="17">
        <f>M24*N24</f>
        <v>120</v>
      </c>
      <c r="P24" s="13">
        <f>$O24*$U$4</f>
        <v>1.7999999999999998</v>
      </c>
      <c r="Q24" s="13">
        <f>$O24*$U$5</f>
        <v>2.4</v>
      </c>
      <c r="R24" s="13" cm="1">
        <f t="array" ref="R24">_xlfn.IFS(B24=2023,O24*$U$4,B24=2024,O24*$U$5)</f>
        <v>1.7999999999999998</v>
      </c>
    </row>
    <row r="25" spans="1:27">
      <c r="A25" s="2">
        <v>24</v>
      </c>
      <c r="B25" s="4">
        <f t="shared" si="0"/>
        <v>2023</v>
      </c>
      <c r="C25" s="4">
        <f t="shared" si="1"/>
        <v>11</v>
      </c>
      <c r="D25" s="4">
        <f t="shared" si="2"/>
        <v>29</v>
      </c>
      <c r="E25" s="4" t="str">
        <f t="shared" si="3"/>
        <v>Wednesday</v>
      </c>
      <c r="F25" s="4" t="str">
        <f t="shared" si="4"/>
        <v>November</v>
      </c>
      <c r="G25" s="3">
        <v>45259</v>
      </c>
      <c r="H25" s="4" t="s">
        <v>56</v>
      </c>
      <c r="I25" s="4" t="s">
        <v>22</v>
      </c>
      <c r="J25" s="4" t="str" cm="1">
        <f t="array" ref="J25">_xlfn.IFS(K25&lt;30,"Young Adult",K25&lt;50,"Adult",K25&gt;=50,"Senior")</f>
        <v>Adult</v>
      </c>
      <c r="K25" s="4">
        <v>49</v>
      </c>
      <c r="L25" s="4" t="s">
        <v>23</v>
      </c>
      <c r="M25" s="4">
        <v>1</v>
      </c>
      <c r="N25" s="16">
        <v>300</v>
      </c>
      <c r="O25" s="17">
        <f>M25*N25</f>
        <v>300</v>
      </c>
      <c r="P25" s="13">
        <f>$O25*$U$4</f>
        <v>4.5</v>
      </c>
      <c r="Q25" s="13">
        <f>$O25*$U$5</f>
        <v>6</v>
      </c>
      <c r="R25" s="13" cm="1">
        <f t="array" ref="R25">_xlfn.IFS(B25=2023,O25*$U$4,B25=2024,O25*$U$5)</f>
        <v>4.5</v>
      </c>
    </row>
    <row r="26" spans="1:27">
      <c r="A26" s="2">
        <v>25</v>
      </c>
      <c r="B26" s="4">
        <f t="shared" si="0"/>
        <v>2023</v>
      </c>
      <c r="C26" s="4">
        <f t="shared" si="1"/>
        <v>12</v>
      </c>
      <c r="D26" s="4">
        <f t="shared" si="2"/>
        <v>26</v>
      </c>
      <c r="E26" s="4" t="str">
        <f t="shared" si="3"/>
        <v>Tuesday</v>
      </c>
      <c r="F26" s="4" t="str">
        <f t="shared" si="4"/>
        <v>December</v>
      </c>
      <c r="G26" s="3">
        <v>45286</v>
      </c>
      <c r="H26" s="4" t="s">
        <v>57</v>
      </c>
      <c r="I26" s="4" t="s">
        <v>22</v>
      </c>
      <c r="J26" s="4" t="str" cm="1">
        <f t="array" ref="J26">_xlfn.IFS(K26&lt;30,"Young Adult",K26&lt;50,"Adult",K26&gt;=50,"Senior")</f>
        <v>Senior</v>
      </c>
      <c r="K26" s="4">
        <v>64</v>
      </c>
      <c r="L26" s="4" t="s">
        <v>20</v>
      </c>
      <c r="M26" s="4">
        <v>1</v>
      </c>
      <c r="N26" s="16">
        <v>50</v>
      </c>
      <c r="O26" s="17">
        <f>M26*N26</f>
        <v>50</v>
      </c>
      <c r="P26" s="13">
        <f>$O26*$U$4</f>
        <v>0.75</v>
      </c>
      <c r="Q26" s="13">
        <f>$O26*$U$5</f>
        <v>1</v>
      </c>
      <c r="R26" s="13" cm="1">
        <f t="array" ref="R26">_xlfn.IFS(B26=2023,O26*$U$4,B26=2024,O26*$U$5)</f>
        <v>0.75</v>
      </c>
    </row>
    <row r="27" spans="1:27">
      <c r="A27" s="2">
        <v>26</v>
      </c>
      <c r="B27" s="4">
        <f t="shared" si="0"/>
        <v>2023</v>
      </c>
      <c r="C27" s="4">
        <f t="shared" si="1"/>
        <v>10</v>
      </c>
      <c r="D27" s="4">
        <f t="shared" si="2"/>
        <v>7</v>
      </c>
      <c r="E27" s="4" t="str">
        <f t="shared" si="3"/>
        <v>Saturday</v>
      </c>
      <c r="F27" s="4" t="str">
        <f t="shared" si="4"/>
        <v>October</v>
      </c>
      <c r="G27" s="3">
        <v>45206</v>
      </c>
      <c r="H27" s="4" t="s">
        <v>58</v>
      </c>
      <c r="I27" s="4" t="s">
        <v>22</v>
      </c>
      <c r="J27" s="4" t="str" cm="1">
        <f t="array" ref="J27">_xlfn.IFS(K27&lt;30,"Young Adult",K27&lt;50,"Adult",K27&gt;=50,"Senior")</f>
        <v>Young Adult</v>
      </c>
      <c r="K27" s="4">
        <v>28</v>
      </c>
      <c r="L27" s="4" t="s">
        <v>26</v>
      </c>
      <c r="M27" s="4">
        <v>2</v>
      </c>
      <c r="N27" s="16">
        <v>500</v>
      </c>
      <c r="O27" s="17">
        <f>M27*N27</f>
        <v>1000</v>
      </c>
      <c r="P27" s="13">
        <f>$O27*$U$4</f>
        <v>15</v>
      </c>
      <c r="Q27" s="13">
        <f>$O27*$U$5</f>
        <v>20</v>
      </c>
      <c r="R27" s="13" cm="1">
        <f t="array" ref="R27">_xlfn.IFS(B27=2023,O27*$U$4,B27=2024,O27*$U$5)</f>
        <v>15</v>
      </c>
    </row>
    <row r="28" spans="1:27">
      <c r="A28" s="2">
        <v>27</v>
      </c>
      <c r="B28" s="4">
        <f t="shared" si="0"/>
        <v>2023</v>
      </c>
      <c r="C28" s="4">
        <f t="shared" si="1"/>
        <v>8</v>
      </c>
      <c r="D28" s="4">
        <f t="shared" si="2"/>
        <v>3</v>
      </c>
      <c r="E28" s="4" t="str">
        <f t="shared" si="3"/>
        <v>Thursday</v>
      </c>
      <c r="F28" s="4" t="str">
        <f t="shared" si="4"/>
        <v>August</v>
      </c>
      <c r="G28" s="3">
        <v>45141</v>
      </c>
      <c r="H28" s="4" t="s">
        <v>59</v>
      </c>
      <c r="I28" s="4" t="s">
        <v>22</v>
      </c>
      <c r="J28" s="4" t="str" cm="1">
        <f t="array" ref="J28">_xlfn.IFS(K28&lt;30,"Young Adult",K28&lt;50,"Adult",K28&gt;=50,"Senior")</f>
        <v>Adult</v>
      </c>
      <c r="K28" s="4">
        <v>38</v>
      </c>
      <c r="L28" s="4" t="s">
        <v>20</v>
      </c>
      <c r="M28" s="4">
        <v>2</v>
      </c>
      <c r="N28" s="16">
        <v>25</v>
      </c>
      <c r="O28" s="17">
        <f>M28*N28</f>
        <v>50</v>
      </c>
      <c r="P28" s="13">
        <f>$O28*$U$4</f>
        <v>0.75</v>
      </c>
      <c r="Q28" s="13">
        <f>$O28*$U$5</f>
        <v>1</v>
      </c>
      <c r="R28" s="13" cm="1">
        <f t="array" ref="R28">_xlfn.IFS(B28=2023,O28*$U$4,B28=2024,O28*$U$5)</f>
        <v>0.75</v>
      </c>
    </row>
    <row r="29" spans="1:27">
      <c r="A29" s="2">
        <v>28</v>
      </c>
      <c r="B29" s="4">
        <f t="shared" si="0"/>
        <v>2023</v>
      </c>
      <c r="C29" s="4">
        <f t="shared" si="1"/>
        <v>4</v>
      </c>
      <c r="D29" s="4">
        <f t="shared" si="2"/>
        <v>23</v>
      </c>
      <c r="E29" s="4" t="str">
        <f t="shared" si="3"/>
        <v>Sunday</v>
      </c>
      <c r="F29" s="4" t="str">
        <f t="shared" si="4"/>
        <v>April</v>
      </c>
      <c r="G29" s="3">
        <v>45039</v>
      </c>
      <c r="H29" s="4" t="s">
        <v>60</v>
      </c>
      <c r="I29" s="4" t="s">
        <v>22</v>
      </c>
      <c r="J29" s="4" t="str" cm="1">
        <f t="array" ref="J29">_xlfn.IFS(K29&lt;30,"Young Adult",K29&lt;50,"Adult",K29&gt;=50,"Senior")</f>
        <v>Adult</v>
      </c>
      <c r="K29" s="4">
        <v>43</v>
      </c>
      <c r="L29" s="4" t="s">
        <v>20</v>
      </c>
      <c r="M29" s="4">
        <v>1</v>
      </c>
      <c r="N29" s="16">
        <v>500</v>
      </c>
      <c r="O29" s="17">
        <f>M29*N29</f>
        <v>500</v>
      </c>
      <c r="P29" s="13">
        <f>$O29*$U$4</f>
        <v>7.5</v>
      </c>
      <c r="Q29" s="13">
        <f>$O29*$U$5</f>
        <v>10</v>
      </c>
      <c r="R29" s="13" cm="1">
        <f t="array" ref="R29">_xlfn.IFS(B29=2023,O29*$U$4,B29=2024,O29*$U$5)</f>
        <v>7.5</v>
      </c>
    </row>
    <row r="30" spans="1:27">
      <c r="A30" s="2">
        <v>29</v>
      </c>
      <c r="B30" s="4">
        <f t="shared" si="0"/>
        <v>2023</v>
      </c>
      <c r="C30" s="4">
        <f t="shared" si="1"/>
        <v>8</v>
      </c>
      <c r="D30" s="4">
        <f t="shared" si="2"/>
        <v>18</v>
      </c>
      <c r="E30" s="4" t="str">
        <f t="shared" si="3"/>
        <v>Friday</v>
      </c>
      <c r="F30" s="4" t="str">
        <f t="shared" si="4"/>
        <v>August</v>
      </c>
      <c r="G30" s="3">
        <v>45156</v>
      </c>
      <c r="H30" s="4" t="s">
        <v>61</v>
      </c>
      <c r="I30" s="4" t="s">
        <v>22</v>
      </c>
      <c r="J30" s="4" t="str" cm="1">
        <f t="array" ref="J30">_xlfn.IFS(K30&lt;30,"Young Adult",K30&lt;50,"Adult",K30&gt;=50,"Senior")</f>
        <v>Adult</v>
      </c>
      <c r="K30" s="4">
        <v>42</v>
      </c>
      <c r="L30" s="4" t="s">
        <v>26</v>
      </c>
      <c r="M30" s="4">
        <v>1</v>
      </c>
      <c r="N30" s="16">
        <v>30</v>
      </c>
      <c r="O30" s="17">
        <f>M30*N30</f>
        <v>30</v>
      </c>
      <c r="P30" s="13">
        <f>$O30*$U$4</f>
        <v>0.44999999999999996</v>
      </c>
      <c r="Q30" s="13">
        <f>$O30*$U$5</f>
        <v>0.6</v>
      </c>
      <c r="R30" s="13" cm="1">
        <f t="array" ref="R30">_xlfn.IFS(B30=2023,O30*$U$4,B30=2024,O30*$U$5)</f>
        <v>0.44999999999999996</v>
      </c>
    </row>
    <row r="31" spans="1:27">
      <c r="A31" s="2">
        <v>30</v>
      </c>
      <c r="B31" s="4">
        <f t="shared" si="0"/>
        <v>2023</v>
      </c>
      <c r="C31" s="4">
        <f t="shared" si="1"/>
        <v>10</v>
      </c>
      <c r="D31" s="4">
        <f t="shared" si="2"/>
        <v>29</v>
      </c>
      <c r="E31" s="4" t="str">
        <f t="shared" si="3"/>
        <v>Sunday</v>
      </c>
      <c r="F31" s="4" t="str">
        <f t="shared" si="4"/>
        <v>October</v>
      </c>
      <c r="G31" s="3">
        <v>45228</v>
      </c>
      <c r="H31" s="4" t="s">
        <v>62</v>
      </c>
      <c r="I31" s="4" t="s">
        <v>22</v>
      </c>
      <c r="J31" s="4" t="str" cm="1">
        <f t="array" ref="J31">_xlfn.IFS(K31&lt;30,"Young Adult",K31&lt;50,"Adult",K31&gt;=50,"Senior")</f>
        <v>Adult</v>
      </c>
      <c r="K31" s="4">
        <v>39</v>
      </c>
      <c r="L31" s="4" t="s">
        <v>20</v>
      </c>
      <c r="M31" s="4">
        <v>3</v>
      </c>
      <c r="N31" s="16">
        <v>300</v>
      </c>
      <c r="O31" s="17">
        <f>M31*N31</f>
        <v>900</v>
      </c>
      <c r="P31" s="13">
        <f>$O31*$U$4</f>
        <v>13.5</v>
      </c>
      <c r="Q31" s="13">
        <f>$O31*$U$5</f>
        <v>18</v>
      </c>
      <c r="R31" s="13" cm="1">
        <f t="array" ref="R31">_xlfn.IFS(B31=2023,O31*$U$4,B31=2024,O31*$U$5)</f>
        <v>13.5</v>
      </c>
    </row>
    <row r="32" spans="1:27">
      <c r="A32" s="2">
        <v>31</v>
      </c>
      <c r="B32" s="4">
        <f t="shared" si="0"/>
        <v>2023</v>
      </c>
      <c r="C32" s="4">
        <f t="shared" si="1"/>
        <v>5</v>
      </c>
      <c r="D32" s="4">
        <f t="shared" si="2"/>
        <v>23</v>
      </c>
      <c r="E32" s="4" t="str">
        <f t="shared" si="3"/>
        <v>Tuesday</v>
      </c>
      <c r="F32" s="4" t="str">
        <f t="shared" si="4"/>
        <v>May</v>
      </c>
      <c r="G32" s="3">
        <v>45069</v>
      </c>
      <c r="H32" s="4" t="s">
        <v>63</v>
      </c>
      <c r="I32" s="4" t="s">
        <v>19</v>
      </c>
      <c r="J32" s="4" t="str" cm="1">
        <f t="array" ref="J32">_xlfn.IFS(K32&lt;30,"Young Adult",K32&lt;50,"Adult",K32&gt;=50,"Senior")</f>
        <v>Adult</v>
      </c>
      <c r="K32" s="4">
        <v>44</v>
      </c>
      <c r="L32" s="4" t="s">
        <v>26</v>
      </c>
      <c r="M32" s="4">
        <v>4</v>
      </c>
      <c r="N32" s="16">
        <v>300</v>
      </c>
      <c r="O32" s="17">
        <f>M32*N32</f>
        <v>1200</v>
      </c>
      <c r="P32" s="13">
        <f>$O32*$U$4</f>
        <v>18</v>
      </c>
      <c r="Q32" s="13">
        <f>$O32*$U$5</f>
        <v>24</v>
      </c>
      <c r="R32" s="13" cm="1">
        <f t="array" ref="R32">_xlfn.IFS(B32=2023,O32*$U$4,B32=2024,O32*$U$5)</f>
        <v>18</v>
      </c>
    </row>
    <row r="33" spans="1:18">
      <c r="A33" s="2">
        <v>32</v>
      </c>
      <c r="B33" s="4">
        <f t="shared" si="0"/>
        <v>2023</v>
      </c>
      <c r="C33" s="4">
        <f t="shared" si="1"/>
        <v>1</v>
      </c>
      <c r="D33" s="4">
        <f t="shared" si="2"/>
        <v>4</v>
      </c>
      <c r="E33" s="4" t="str">
        <f t="shared" si="3"/>
        <v>Wednesday</v>
      </c>
      <c r="F33" s="4" t="str">
        <f t="shared" si="4"/>
        <v>January</v>
      </c>
      <c r="G33" s="3">
        <v>44930</v>
      </c>
      <c r="H33" s="4" t="s">
        <v>64</v>
      </c>
      <c r="I33" s="4" t="s">
        <v>19</v>
      </c>
      <c r="J33" s="4" t="str" cm="1">
        <f t="array" ref="J33">_xlfn.IFS(K33&lt;30,"Young Adult",K33&lt;50,"Adult",K33&gt;=50,"Senior")</f>
        <v>Adult</v>
      </c>
      <c r="K33" s="4">
        <v>30</v>
      </c>
      <c r="L33" s="4" t="s">
        <v>20</v>
      </c>
      <c r="M33" s="4">
        <v>3</v>
      </c>
      <c r="N33" s="16">
        <v>30</v>
      </c>
      <c r="O33" s="17">
        <f>M33*N33</f>
        <v>90</v>
      </c>
      <c r="P33" s="13">
        <f>$O33*$U$4</f>
        <v>1.3499999999999999</v>
      </c>
      <c r="Q33" s="13">
        <f>$O33*$U$5</f>
        <v>1.8</v>
      </c>
      <c r="R33" s="13" cm="1">
        <f t="array" ref="R33">_xlfn.IFS(B33=2023,O33*$U$4,B33=2024,O33*$U$5)</f>
        <v>1.3499999999999999</v>
      </c>
    </row>
    <row r="34" spans="1:18">
      <c r="A34" s="2">
        <v>33</v>
      </c>
      <c r="B34" s="4">
        <f t="shared" si="0"/>
        <v>2023</v>
      </c>
      <c r="C34" s="4">
        <f t="shared" si="1"/>
        <v>3</v>
      </c>
      <c r="D34" s="4">
        <f t="shared" si="2"/>
        <v>23</v>
      </c>
      <c r="E34" s="4" t="str">
        <f t="shared" si="3"/>
        <v>Thursday</v>
      </c>
      <c r="F34" s="4" t="str">
        <f t="shared" si="4"/>
        <v>March</v>
      </c>
      <c r="G34" s="3">
        <v>45008</v>
      </c>
      <c r="H34" s="4" t="s">
        <v>65</v>
      </c>
      <c r="I34" s="4" t="s">
        <v>22</v>
      </c>
      <c r="J34" s="4" t="str" cm="1">
        <f t="array" ref="J34">_xlfn.IFS(K34&lt;30,"Young Adult",K34&lt;50,"Adult",K34&gt;=50,"Senior")</f>
        <v>Senior</v>
      </c>
      <c r="K34" s="4">
        <v>50</v>
      </c>
      <c r="L34" s="4" t="s">
        <v>26</v>
      </c>
      <c r="M34" s="4">
        <v>2</v>
      </c>
      <c r="N34" s="16">
        <v>50</v>
      </c>
      <c r="O34" s="17">
        <f>M34*N34</f>
        <v>100</v>
      </c>
      <c r="P34" s="13">
        <f>$O34*$U$4</f>
        <v>1.5</v>
      </c>
      <c r="Q34" s="13">
        <f>$O34*$U$5</f>
        <v>2</v>
      </c>
      <c r="R34" s="13" cm="1">
        <f t="array" ref="R34">_xlfn.IFS(B34=2023,O34*$U$4,B34=2024,O34*$U$5)</f>
        <v>1.5</v>
      </c>
    </row>
    <row r="35" spans="1:18">
      <c r="A35" s="2">
        <v>34</v>
      </c>
      <c r="B35" s="4">
        <f t="shared" si="0"/>
        <v>2023</v>
      </c>
      <c r="C35" s="4">
        <f t="shared" si="1"/>
        <v>12</v>
      </c>
      <c r="D35" s="4">
        <f t="shared" si="2"/>
        <v>24</v>
      </c>
      <c r="E35" s="4" t="str">
        <f t="shared" si="3"/>
        <v>Sunday</v>
      </c>
      <c r="F35" s="4" t="str">
        <f t="shared" si="4"/>
        <v>December</v>
      </c>
      <c r="G35" s="3">
        <v>45284</v>
      </c>
      <c r="H35" s="4" t="s">
        <v>66</v>
      </c>
      <c r="I35" s="4" t="s">
        <v>22</v>
      </c>
      <c r="J35" s="4" t="str" cm="1">
        <f t="array" ref="J35">_xlfn.IFS(K35&lt;30,"Young Adult",K35&lt;50,"Adult",K35&gt;=50,"Senior")</f>
        <v>Senior</v>
      </c>
      <c r="K35" s="4">
        <v>51</v>
      </c>
      <c r="L35" s="4" t="s">
        <v>23</v>
      </c>
      <c r="M35" s="4">
        <v>3</v>
      </c>
      <c r="N35" s="16">
        <v>50</v>
      </c>
      <c r="O35" s="17">
        <f>M35*N35</f>
        <v>150</v>
      </c>
      <c r="P35" s="13">
        <f>$O35*$U$4</f>
        <v>2.25</v>
      </c>
      <c r="Q35" s="13">
        <f>$O35*$U$5</f>
        <v>3</v>
      </c>
      <c r="R35" s="13" cm="1">
        <f t="array" ref="R35">_xlfn.IFS(B35=2023,O35*$U$4,B35=2024,O35*$U$5)</f>
        <v>2.25</v>
      </c>
    </row>
    <row r="36" spans="1:18">
      <c r="A36" s="2">
        <v>35</v>
      </c>
      <c r="B36" s="4">
        <f t="shared" si="0"/>
        <v>2023</v>
      </c>
      <c r="C36" s="4">
        <f t="shared" si="1"/>
        <v>8</v>
      </c>
      <c r="D36" s="4">
        <f t="shared" si="2"/>
        <v>5</v>
      </c>
      <c r="E36" s="4" t="str">
        <f t="shared" si="3"/>
        <v>Saturday</v>
      </c>
      <c r="F36" s="4" t="str">
        <f t="shared" si="4"/>
        <v>August</v>
      </c>
      <c r="G36" s="3">
        <v>45143</v>
      </c>
      <c r="H36" s="4" t="s">
        <v>67</v>
      </c>
      <c r="I36" s="4" t="s">
        <v>22</v>
      </c>
      <c r="J36" s="4" t="str" cm="1">
        <f t="array" ref="J36">_xlfn.IFS(K36&lt;30,"Young Adult",K36&lt;50,"Adult",K36&gt;=50,"Senior")</f>
        <v>Senior</v>
      </c>
      <c r="K36" s="4">
        <v>58</v>
      </c>
      <c r="L36" s="4" t="s">
        <v>20</v>
      </c>
      <c r="M36" s="4">
        <v>3</v>
      </c>
      <c r="N36" s="16">
        <v>300</v>
      </c>
      <c r="O36" s="17">
        <f>M36*N36</f>
        <v>900</v>
      </c>
      <c r="P36" s="13">
        <f>$O36*$U$4</f>
        <v>13.5</v>
      </c>
      <c r="Q36" s="13">
        <f>$O36*$U$5</f>
        <v>18</v>
      </c>
      <c r="R36" s="13" cm="1">
        <f t="array" ref="R36">_xlfn.IFS(B36=2023,O36*$U$4,B36=2024,O36*$U$5)</f>
        <v>13.5</v>
      </c>
    </row>
    <row r="37" spans="1:18">
      <c r="A37" s="2">
        <v>36</v>
      </c>
      <c r="B37" s="4">
        <f t="shared" si="0"/>
        <v>2023</v>
      </c>
      <c r="C37" s="4">
        <f t="shared" si="1"/>
        <v>6</v>
      </c>
      <c r="D37" s="4">
        <f t="shared" si="2"/>
        <v>24</v>
      </c>
      <c r="E37" s="4" t="str">
        <f t="shared" si="3"/>
        <v>Saturday</v>
      </c>
      <c r="F37" s="4" t="str">
        <f t="shared" si="4"/>
        <v>June</v>
      </c>
      <c r="G37" s="3">
        <v>45101</v>
      </c>
      <c r="H37" s="4" t="s">
        <v>68</v>
      </c>
      <c r="I37" s="4" t="s">
        <v>19</v>
      </c>
      <c r="J37" s="4" t="str" cm="1">
        <f t="array" ref="J37">_xlfn.IFS(K37&lt;30,"Young Adult",K37&lt;50,"Adult",K37&gt;=50,"Senior")</f>
        <v>Senior</v>
      </c>
      <c r="K37" s="4">
        <v>52</v>
      </c>
      <c r="L37" s="4" t="s">
        <v>20</v>
      </c>
      <c r="M37" s="4">
        <v>3</v>
      </c>
      <c r="N37" s="16">
        <v>300</v>
      </c>
      <c r="O37" s="17">
        <f>M37*N37</f>
        <v>900</v>
      </c>
      <c r="P37" s="13">
        <f>$O37*$U$4</f>
        <v>13.5</v>
      </c>
      <c r="Q37" s="13">
        <f>$O37*$U$5</f>
        <v>18</v>
      </c>
      <c r="R37" s="13" cm="1">
        <f t="array" ref="R37">_xlfn.IFS(B37=2023,O37*$U$4,B37=2024,O37*$U$5)</f>
        <v>13.5</v>
      </c>
    </row>
    <row r="38" spans="1:18">
      <c r="A38" s="2">
        <v>37</v>
      </c>
      <c r="B38" s="4">
        <f t="shared" si="0"/>
        <v>2023</v>
      </c>
      <c r="C38" s="4">
        <f t="shared" si="1"/>
        <v>5</v>
      </c>
      <c r="D38" s="4">
        <f t="shared" si="2"/>
        <v>23</v>
      </c>
      <c r="E38" s="4" t="str">
        <f t="shared" si="3"/>
        <v>Tuesday</v>
      </c>
      <c r="F38" s="4" t="str">
        <f t="shared" si="4"/>
        <v>May</v>
      </c>
      <c r="G38" s="3">
        <v>45069</v>
      </c>
      <c r="H38" s="4" t="s">
        <v>69</v>
      </c>
      <c r="I38" s="4" t="s">
        <v>22</v>
      </c>
      <c r="J38" s="4" t="str" cm="1">
        <f t="array" ref="J38">_xlfn.IFS(K38&lt;30,"Young Adult",K38&lt;50,"Adult",K38&gt;=50,"Senior")</f>
        <v>Young Adult</v>
      </c>
      <c r="K38" s="4">
        <v>18</v>
      </c>
      <c r="L38" s="4" t="s">
        <v>20</v>
      </c>
      <c r="M38" s="4">
        <v>3</v>
      </c>
      <c r="N38" s="16">
        <v>25</v>
      </c>
      <c r="O38" s="17">
        <f>M38*N38</f>
        <v>75</v>
      </c>
      <c r="P38" s="13">
        <f>$O38*$U$4</f>
        <v>1.125</v>
      </c>
      <c r="Q38" s="13">
        <f>$O38*$U$5</f>
        <v>1.5</v>
      </c>
      <c r="R38" s="13" cm="1">
        <f t="array" ref="R38">_xlfn.IFS(B38=2023,O38*$U$4,B38=2024,O38*$U$5)</f>
        <v>1.125</v>
      </c>
    </row>
    <row r="39" spans="1:18">
      <c r="A39" s="2">
        <v>38</v>
      </c>
      <c r="B39" s="4">
        <f t="shared" si="0"/>
        <v>2023</v>
      </c>
      <c r="C39" s="4">
        <f t="shared" si="1"/>
        <v>3</v>
      </c>
      <c r="D39" s="4">
        <f t="shared" si="2"/>
        <v>21</v>
      </c>
      <c r="E39" s="4" t="str">
        <f t="shared" si="3"/>
        <v>Tuesday</v>
      </c>
      <c r="F39" s="4" t="str">
        <f t="shared" si="4"/>
        <v>March</v>
      </c>
      <c r="G39" s="3">
        <v>45006</v>
      </c>
      <c r="H39" s="4" t="s">
        <v>70</v>
      </c>
      <c r="I39" s="4" t="s">
        <v>19</v>
      </c>
      <c r="J39" s="4" t="str" cm="1">
        <f t="array" ref="J39">_xlfn.IFS(K39&lt;30,"Young Adult",K39&lt;50,"Adult",K39&gt;=50,"Senior")</f>
        <v>Adult</v>
      </c>
      <c r="K39" s="4">
        <v>38</v>
      </c>
      <c r="L39" s="4" t="s">
        <v>20</v>
      </c>
      <c r="M39" s="4">
        <v>4</v>
      </c>
      <c r="N39" s="16">
        <v>50</v>
      </c>
      <c r="O39" s="17">
        <f>M39*N39</f>
        <v>200</v>
      </c>
      <c r="P39" s="13">
        <f>$O39*$U$4</f>
        <v>3</v>
      </c>
      <c r="Q39" s="13">
        <f>$O39*$U$5</f>
        <v>4</v>
      </c>
      <c r="R39" s="13" cm="1">
        <f t="array" ref="R39">_xlfn.IFS(B39=2023,O39*$U$4,B39=2024,O39*$U$5)</f>
        <v>3</v>
      </c>
    </row>
    <row r="40" spans="1:18">
      <c r="A40" s="2">
        <v>39</v>
      </c>
      <c r="B40" s="4">
        <f t="shared" si="0"/>
        <v>2023</v>
      </c>
      <c r="C40" s="4">
        <f t="shared" si="1"/>
        <v>4</v>
      </c>
      <c r="D40" s="4">
        <f t="shared" si="2"/>
        <v>21</v>
      </c>
      <c r="E40" s="4" t="str">
        <f t="shared" si="3"/>
        <v>Friday</v>
      </c>
      <c r="F40" s="4" t="str">
        <f t="shared" si="4"/>
        <v>April</v>
      </c>
      <c r="G40" s="3">
        <v>45037</v>
      </c>
      <c r="H40" s="4" t="s">
        <v>71</v>
      </c>
      <c r="I40" s="4" t="s">
        <v>19</v>
      </c>
      <c r="J40" s="4" t="str" cm="1">
        <f t="array" ref="J40">_xlfn.IFS(K40&lt;30,"Young Adult",K40&lt;50,"Adult",K40&gt;=50,"Senior")</f>
        <v>Young Adult</v>
      </c>
      <c r="K40" s="4">
        <v>23</v>
      </c>
      <c r="L40" s="4" t="s">
        <v>23</v>
      </c>
      <c r="M40" s="4">
        <v>4</v>
      </c>
      <c r="N40" s="16">
        <v>30</v>
      </c>
      <c r="O40" s="17">
        <f>M40*N40</f>
        <v>120</v>
      </c>
      <c r="P40" s="13">
        <f>$O40*$U$4</f>
        <v>1.7999999999999998</v>
      </c>
      <c r="Q40" s="13">
        <f>$O40*$U$5</f>
        <v>2.4</v>
      </c>
      <c r="R40" s="13" cm="1">
        <f t="array" ref="R40">_xlfn.IFS(B40=2023,O40*$U$4,B40=2024,O40*$U$5)</f>
        <v>1.7999999999999998</v>
      </c>
    </row>
    <row r="41" spans="1:18">
      <c r="A41" s="2">
        <v>40</v>
      </c>
      <c r="B41" s="4">
        <f t="shared" si="0"/>
        <v>2023</v>
      </c>
      <c r="C41" s="4">
        <f t="shared" si="1"/>
        <v>6</v>
      </c>
      <c r="D41" s="4">
        <f t="shared" si="2"/>
        <v>22</v>
      </c>
      <c r="E41" s="4" t="str">
        <f t="shared" si="3"/>
        <v>Thursday</v>
      </c>
      <c r="F41" s="4" t="str">
        <f t="shared" si="4"/>
        <v>June</v>
      </c>
      <c r="G41" s="3">
        <v>45099</v>
      </c>
      <c r="H41" s="4" t="s">
        <v>72</v>
      </c>
      <c r="I41" s="4" t="s">
        <v>19</v>
      </c>
      <c r="J41" s="4" t="str" cm="1">
        <f t="array" ref="J41">_xlfn.IFS(K41&lt;30,"Young Adult",K41&lt;50,"Adult",K41&gt;=50,"Senior")</f>
        <v>Adult</v>
      </c>
      <c r="K41" s="4">
        <v>45</v>
      </c>
      <c r="L41" s="4" t="s">
        <v>20</v>
      </c>
      <c r="M41" s="4">
        <v>1</v>
      </c>
      <c r="N41" s="16">
        <v>50</v>
      </c>
      <c r="O41" s="17">
        <f>M41*N41</f>
        <v>50</v>
      </c>
      <c r="P41" s="13">
        <f>$O41*$U$4</f>
        <v>0.75</v>
      </c>
      <c r="Q41" s="13">
        <f>$O41*$U$5</f>
        <v>1</v>
      </c>
      <c r="R41" s="13" cm="1">
        <f t="array" ref="R41">_xlfn.IFS(B41=2023,O41*$U$4,B41=2024,O41*$U$5)</f>
        <v>0.75</v>
      </c>
    </row>
    <row r="42" spans="1:18">
      <c r="A42" s="2">
        <v>41</v>
      </c>
      <c r="B42" s="4">
        <f t="shared" si="0"/>
        <v>2023</v>
      </c>
      <c r="C42" s="4">
        <f t="shared" si="1"/>
        <v>2</v>
      </c>
      <c r="D42" s="4">
        <f t="shared" si="2"/>
        <v>22</v>
      </c>
      <c r="E42" s="4" t="str">
        <f t="shared" si="3"/>
        <v>Wednesday</v>
      </c>
      <c r="F42" s="4" t="str">
        <f t="shared" si="4"/>
        <v>February</v>
      </c>
      <c r="G42" s="3">
        <v>44979</v>
      </c>
      <c r="H42" s="4" t="s">
        <v>73</v>
      </c>
      <c r="I42" s="4" t="s">
        <v>19</v>
      </c>
      <c r="J42" s="4" t="str" cm="1">
        <f t="array" ref="J42">_xlfn.IFS(K42&lt;30,"Young Adult",K42&lt;50,"Adult",K42&gt;=50,"Senior")</f>
        <v>Adult</v>
      </c>
      <c r="K42" s="4">
        <v>34</v>
      </c>
      <c r="L42" s="4" t="s">
        <v>23</v>
      </c>
      <c r="M42" s="4">
        <v>2</v>
      </c>
      <c r="N42" s="16">
        <v>25</v>
      </c>
      <c r="O42" s="17">
        <f>M42*N42</f>
        <v>50</v>
      </c>
      <c r="P42" s="13">
        <f>$O42*$U$4</f>
        <v>0.75</v>
      </c>
      <c r="Q42" s="13">
        <f>$O42*$U$5</f>
        <v>1</v>
      </c>
      <c r="R42" s="13" cm="1">
        <f t="array" ref="R42">_xlfn.IFS(B42=2023,O42*$U$4,B42=2024,O42*$U$5)</f>
        <v>0.75</v>
      </c>
    </row>
    <row r="43" spans="1:18">
      <c r="A43" s="2">
        <v>42</v>
      </c>
      <c r="B43" s="4">
        <f t="shared" si="0"/>
        <v>2023</v>
      </c>
      <c r="C43" s="4">
        <f t="shared" si="1"/>
        <v>2</v>
      </c>
      <c r="D43" s="4">
        <f t="shared" si="2"/>
        <v>17</v>
      </c>
      <c r="E43" s="4" t="str">
        <f t="shared" si="3"/>
        <v>Friday</v>
      </c>
      <c r="F43" s="4" t="str">
        <f t="shared" si="4"/>
        <v>February</v>
      </c>
      <c r="G43" s="3">
        <v>44974</v>
      </c>
      <c r="H43" s="4" t="s">
        <v>74</v>
      </c>
      <c r="I43" s="4" t="s">
        <v>19</v>
      </c>
      <c r="J43" s="4" t="str" cm="1">
        <f t="array" ref="J43">_xlfn.IFS(K43&lt;30,"Young Adult",K43&lt;50,"Adult",K43&gt;=50,"Senior")</f>
        <v>Young Adult</v>
      </c>
      <c r="K43" s="4">
        <v>22</v>
      </c>
      <c r="L43" s="4" t="s">
        <v>23</v>
      </c>
      <c r="M43" s="4">
        <v>3</v>
      </c>
      <c r="N43" s="16">
        <v>300</v>
      </c>
      <c r="O43" s="17">
        <f>M43*N43</f>
        <v>900</v>
      </c>
      <c r="P43" s="13">
        <f>$O43*$U$4</f>
        <v>13.5</v>
      </c>
      <c r="Q43" s="13">
        <f>$O43*$U$5</f>
        <v>18</v>
      </c>
      <c r="R43" s="13" cm="1">
        <f t="array" ref="R43">_xlfn.IFS(B43=2023,O43*$U$4,B43=2024,O43*$U$5)</f>
        <v>13.5</v>
      </c>
    </row>
    <row r="44" spans="1:18">
      <c r="A44" s="2">
        <v>43</v>
      </c>
      <c r="B44" s="4">
        <f t="shared" si="0"/>
        <v>2023</v>
      </c>
      <c r="C44" s="4">
        <f t="shared" si="1"/>
        <v>7</v>
      </c>
      <c r="D44" s="4">
        <f t="shared" si="2"/>
        <v>14</v>
      </c>
      <c r="E44" s="4" t="str">
        <f t="shared" si="3"/>
        <v>Friday</v>
      </c>
      <c r="F44" s="4" t="str">
        <f t="shared" si="4"/>
        <v>July</v>
      </c>
      <c r="G44" s="3">
        <v>45121</v>
      </c>
      <c r="H44" s="4" t="s">
        <v>75</v>
      </c>
      <c r="I44" s="4" t="s">
        <v>22</v>
      </c>
      <c r="J44" s="4" t="str" cm="1">
        <f t="array" ref="J44">_xlfn.IFS(K44&lt;30,"Young Adult",K44&lt;50,"Adult",K44&gt;=50,"Senior")</f>
        <v>Adult</v>
      </c>
      <c r="K44" s="4">
        <v>48</v>
      </c>
      <c r="L44" s="4" t="s">
        <v>23</v>
      </c>
      <c r="M44" s="4">
        <v>1</v>
      </c>
      <c r="N44" s="16">
        <v>300</v>
      </c>
      <c r="O44" s="17">
        <f>M44*N44</f>
        <v>300</v>
      </c>
      <c r="P44" s="13">
        <f>$O44*$U$4</f>
        <v>4.5</v>
      </c>
      <c r="Q44" s="13">
        <f>$O44*$U$5</f>
        <v>6</v>
      </c>
      <c r="R44" s="13" cm="1">
        <f t="array" ref="R44">_xlfn.IFS(B44=2023,O44*$U$4,B44=2024,O44*$U$5)</f>
        <v>4.5</v>
      </c>
    </row>
    <row r="45" spans="1:18">
      <c r="A45" s="2">
        <v>44</v>
      </c>
      <c r="B45" s="4">
        <f t="shared" si="0"/>
        <v>2023</v>
      </c>
      <c r="C45" s="4">
        <f t="shared" si="1"/>
        <v>2</v>
      </c>
      <c r="D45" s="4">
        <f t="shared" si="2"/>
        <v>19</v>
      </c>
      <c r="E45" s="4" t="str">
        <f t="shared" si="3"/>
        <v>Sunday</v>
      </c>
      <c r="F45" s="4" t="str">
        <f t="shared" si="4"/>
        <v>February</v>
      </c>
      <c r="G45" s="3">
        <v>44976</v>
      </c>
      <c r="H45" s="4" t="s">
        <v>76</v>
      </c>
      <c r="I45" s="4" t="s">
        <v>22</v>
      </c>
      <c r="J45" s="4" t="str" cm="1">
        <f t="array" ref="J45">_xlfn.IFS(K45&lt;30,"Young Adult",K45&lt;50,"Adult",K45&gt;=50,"Senior")</f>
        <v>Young Adult</v>
      </c>
      <c r="K45" s="4">
        <v>22</v>
      </c>
      <c r="L45" s="4" t="s">
        <v>23</v>
      </c>
      <c r="M45" s="4">
        <v>1</v>
      </c>
      <c r="N45" s="16">
        <v>25</v>
      </c>
      <c r="O45" s="17">
        <f>M45*N45</f>
        <v>25</v>
      </c>
      <c r="P45" s="13">
        <f>$O45*$U$4</f>
        <v>0.375</v>
      </c>
      <c r="Q45" s="13">
        <f>$O45*$U$5</f>
        <v>0.5</v>
      </c>
      <c r="R45" s="13" cm="1">
        <f t="array" ref="R45">_xlfn.IFS(B45=2023,O45*$U$4,B45=2024,O45*$U$5)</f>
        <v>0.375</v>
      </c>
    </row>
    <row r="46" spans="1:18">
      <c r="A46" s="2">
        <v>45</v>
      </c>
      <c r="B46" s="4">
        <f t="shared" si="0"/>
        <v>2023</v>
      </c>
      <c r="C46" s="4">
        <f t="shared" si="1"/>
        <v>7</v>
      </c>
      <c r="D46" s="4">
        <f t="shared" si="2"/>
        <v>3</v>
      </c>
      <c r="E46" s="4" t="str">
        <f t="shared" si="3"/>
        <v>Monday</v>
      </c>
      <c r="F46" s="4" t="str">
        <f t="shared" si="4"/>
        <v>July</v>
      </c>
      <c r="G46" s="3">
        <v>45110</v>
      </c>
      <c r="H46" s="4" t="s">
        <v>77</v>
      </c>
      <c r="I46" s="4" t="s">
        <v>22</v>
      </c>
      <c r="J46" s="4" t="str" cm="1">
        <f t="array" ref="J46">_xlfn.IFS(K46&lt;30,"Young Adult",K46&lt;50,"Adult",K46&gt;=50,"Senior")</f>
        <v>Senior</v>
      </c>
      <c r="K46" s="4">
        <v>55</v>
      </c>
      <c r="L46" s="4" t="s">
        <v>26</v>
      </c>
      <c r="M46" s="4">
        <v>1</v>
      </c>
      <c r="N46" s="16">
        <v>30</v>
      </c>
      <c r="O46" s="17">
        <f>M46*N46</f>
        <v>30</v>
      </c>
      <c r="P46" s="13">
        <f>$O46*$U$4</f>
        <v>0.44999999999999996</v>
      </c>
      <c r="Q46" s="13">
        <f>$O46*$U$5</f>
        <v>0.6</v>
      </c>
      <c r="R46" s="13" cm="1">
        <f t="array" ref="R46">_xlfn.IFS(B46=2023,O46*$U$4,B46=2024,O46*$U$5)</f>
        <v>0.44999999999999996</v>
      </c>
    </row>
    <row r="47" spans="1:18">
      <c r="A47" s="2">
        <v>46</v>
      </c>
      <c r="B47" s="4">
        <f t="shared" si="0"/>
        <v>2023</v>
      </c>
      <c r="C47" s="4">
        <f t="shared" si="1"/>
        <v>6</v>
      </c>
      <c r="D47" s="4">
        <f t="shared" si="2"/>
        <v>26</v>
      </c>
      <c r="E47" s="4" t="str">
        <f t="shared" si="3"/>
        <v>Monday</v>
      </c>
      <c r="F47" s="4" t="str">
        <f t="shared" si="4"/>
        <v>June</v>
      </c>
      <c r="G47" s="3">
        <v>45103</v>
      </c>
      <c r="H47" s="4" t="s">
        <v>78</v>
      </c>
      <c r="I47" s="4" t="s">
        <v>22</v>
      </c>
      <c r="J47" s="4" t="str" cm="1">
        <f t="array" ref="J47">_xlfn.IFS(K47&lt;30,"Young Adult",K47&lt;50,"Adult",K47&gt;=50,"Senior")</f>
        <v>Young Adult</v>
      </c>
      <c r="K47" s="4">
        <v>20</v>
      </c>
      <c r="L47" s="4" t="s">
        <v>26</v>
      </c>
      <c r="M47" s="4">
        <v>4</v>
      </c>
      <c r="N47" s="16">
        <v>300</v>
      </c>
      <c r="O47" s="17">
        <f>M47*N47</f>
        <v>1200</v>
      </c>
      <c r="P47" s="13">
        <f>$O47*$U$4</f>
        <v>18</v>
      </c>
      <c r="Q47" s="13">
        <f>$O47*$U$5</f>
        <v>24</v>
      </c>
      <c r="R47" s="13" cm="1">
        <f t="array" ref="R47">_xlfn.IFS(B47=2023,O47*$U$4,B47=2024,O47*$U$5)</f>
        <v>18</v>
      </c>
    </row>
    <row r="48" spans="1:18">
      <c r="A48" s="2">
        <v>47</v>
      </c>
      <c r="B48" s="4">
        <f t="shared" si="0"/>
        <v>2023</v>
      </c>
      <c r="C48" s="4">
        <f t="shared" si="1"/>
        <v>11</v>
      </c>
      <c r="D48" s="4">
        <f t="shared" si="2"/>
        <v>6</v>
      </c>
      <c r="E48" s="4" t="str">
        <f t="shared" si="3"/>
        <v>Monday</v>
      </c>
      <c r="F48" s="4" t="str">
        <f t="shared" si="4"/>
        <v>November</v>
      </c>
      <c r="G48" s="3">
        <v>45236</v>
      </c>
      <c r="H48" s="4" t="s">
        <v>79</v>
      </c>
      <c r="I48" s="4" t="s">
        <v>22</v>
      </c>
      <c r="J48" s="4" t="str" cm="1">
        <f t="array" ref="J48">_xlfn.IFS(K48&lt;30,"Young Adult",K48&lt;50,"Adult",K48&gt;=50,"Senior")</f>
        <v>Adult</v>
      </c>
      <c r="K48" s="4">
        <v>40</v>
      </c>
      <c r="L48" s="4" t="s">
        <v>20</v>
      </c>
      <c r="M48" s="4">
        <v>3</v>
      </c>
      <c r="N48" s="16">
        <v>500</v>
      </c>
      <c r="O48" s="17">
        <f>M48*N48</f>
        <v>1500</v>
      </c>
      <c r="P48" s="13">
        <f>$O48*$U$4</f>
        <v>22.5</v>
      </c>
      <c r="Q48" s="13">
        <f>$O48*$U$5</f>
        <v>30</v>
      </c>
      <c r="R48" s="13" cm="1">
        <f t="array" ref="R48">_xlfn.IFS(B48=2023,O48*$U$4,B48=2024,O48*$U$5)</f>
        <v>22.5</v>
      </c>
    </row>
    <row r="49" spans="1:18">
      <c r="A49" s="2">
        <v>48</v>
      </c>
      <c r="B49" s="4">
        <f t="shared" si="0"/>
        <v>2023</v>
      </c>
      <c r="C49" s="4">
        <f t="shared" si="1"/>
        <v>5</v>
      </c>
      <c r="D49" s="4">
        <f t="shared" si="2"/>
        <v>16</v>
      </c>
      <c r="E49" s="4" t="str">
        <f t="shared" si="3"/>
        <v>Tuesday</v>
      </c>
      <c r="F49" s="4" t="str">
        <f t="shared" si="4"/>
        <v>May</v>
      </c>
      <c r="G49" s="3">
        <v>45062</v>
      </c>
      <c r="H49" s="4" t="s">
        <v>80</v>
      </c>
      <c r="I49" s="4" t="s">
        <v>19</v>
      </c>
      <c r="J49" s="4" t="str" cm="1">
        <f t="array" ref="J49">_xlfn.IFS(K49&lt;30,"Young Adult",K49&lt;50,"Adult",K49&gt;=50,"Senior")</f>
        <v>Senior</v>
      </c>
      <c r="K49" s="4">
        <v>54</v>
      </c>
      <c r="L49" s="4" t="s">
        <v>26</v>
      </c>
      <c r="M49" s="4">
        <v>3</v>
      </c>
      <c r="N49" s="16">
        <v>300</v>
      </c>
      <c r="O49" s="17">
        <f>M49*N49</f>
        <v>900</v>
      </c>
      <c r="P49" s="13">
        <f>$O49*$U$4</f>
        <v>13.5</v>
      </c>
      <c r="Q49" s="13">
        <f>$O49*$U$5</f>
        <v>18</v>
      </c>
      <c r="R49" s="13" cm="1">
        <f t="array" ref="R49">_xlfn.IFS(B49=2023,O49*$U$4,B49=2024,O49*$U$5)</f>
        <v>13.5</v>
      </c>
    </row>
    <row r="50" spans="1:18">
      <c r="A50" s="2">
        <v>49</v>
      </c>
      <c r="B50" s="4">
        <f t="shared" si="0"/>
        <v>2023</v>
      </c>
      <c r="C50" s="4">
        <f t="shared" si="1"/>
        <v>1</v>
      </c>
      <c r="D50" s="4">
        <f t="shared" si="2"/>
        <v>23</v>
      </c>
      <c r="E50" s="4" t="str">
        <f t="shared" si="3"/>
        <v>Monday</v>
      </c>
      <c r="F50" s="4" t="str">
        <f t="shared" si="4"/>
        <v>January</v>
      </c>
      <c r="G50" s="3">
        <v>44949</v>
      </c>
      <c r="H50" s="4" t="s">
        <v>81</v>
      </c>
      <c r="I50" s="4" t="s">
        <v>22</v>
      </c>
      <c r="J50" s="4" t="str" cm="1">
        <f t="array" ref="J50">_xlfn.IFS(K50&lt;30,"Young Adult",K50&lt;50,"Adult",K50&gt;=50,"Senior")</f>
        <v>Senior</v>
      </c>
      <c r="K50" s="4">
        <v>54</v>
      </c>
      <c r="L50" s="4" t="s">
        <v>26</v>
      </c>
      <c r="M50" s="4">
        <v>2</v>
      </c>
      <c r="N50" s="16">
        <v>500</v>
      </c>
      <c r="O50" s="17">
        <f>M50*N50</f>
        <v>1000</v>
      </c>
      <c r="P50" s="13">
        <f>$O50*$U$4</f>
        <v>15</v>
      </c>
      <c r="Q50" s="13">
        <f>$O50*$U$5</f>
        <v>20</v>
      </c>
      <c r="R50" s="13" cm="1">
        <f t="array" ref="R50">_xlfn.IFS(B50=2023,O50*$U$4,B50=2024,O50*$U$5)</f>
        <v>15</v>
      </c>
    </row>
    <row r="51" spans="1:18">
      <c r="A51" s="2">
        <v>50</v>
      </c>
      <c r="B51" s="4">
        <f t="shared" si="0"/>
        <v>2023</v>
      </c>
      <c r="C51" s="4">
        <f t="shared" si="1"/>
        <v>8</v>
      </c>
      <c r="D51" s="4">
        <f t="shared" si="2"/>
        <v>24</v>
      </c>
      <c r="E51" s="4" t="str">
        <f t="shared" si="3"/>
        <v>Thursday</v>
      </c>
      <c r="F51" s="4" t="str">
        <f t="shared" si="4"/>
        <v>August</v>
      </c>
      <c r="G51" s="3">
        <v>45162</v>
      </c>
      <c r="H51" s="4" t="s">
        <v>82</v>
      </c>
      <c r="I51" s="4" t="s">
        <v>22</v>
      </c>
      <c r="J51" s="4" t="str" cm="1">
        <f t="array" ref="J51">_xlfn.IFS(K51&lt;30,"Young Adult",K51&lt;50,"Adult",K51&gt;=50,"Senior")</f>
        <v>Young Adult</v>
      </c>
      <c r="K51" s="4">
        <v>27</v>
      </c>
      <c r="L51" s="4" t="s">
        <v>20</v>
      </c>
      <c r="M51" s="4">
        <v>3</v>
      </c>
      <c r="N51" s="16">
        <v>25</v>
      </c>
      <c r="O51" s="17">
        <f>M51*N51</f>
        <v>75</v>
      </c>
      <c r="P51" s="13">
        <f>$O51*$U$4</f>
        <v>1.125</v>
      </c>
      <c r="Q51" s="13">
        <f>$O51*$U$5</f>
        <v>1.5</v>
      </c>
      <c r="R51" s="13" cm="1">
        <f t="array" ref="R51">_xlfn.IFS(B51=2023,O51*$U$4,B51=2024,O51*$U$5)</f>
        <v>1.125</v>
      </c>
    </row>
    <row r="52" spans="1:18">
      <c r="A52" s="2">
        <v>51</v>
      </c>
      <c r="B52" s="4">
        <f t="shared" si="0"/>
        <v>2023</v>
      </c>
      <c r="C52" s="4">
        <f t="shared" si="1"/>
        <v>10</v>
      </c>
      <c r="D52" s="4">
        <f t="shared" si="2"/>
        <v>2</v>
      </c>
      <c r="E52" s="4" t="str">
        <f t="shared" si="3"/>
        <v>Monday</v>
      </c>
      <c r="F52" s="4" t="str">
        <f t="shared" si="4"/>
        <v>October</v>
      </c>
      <c r="G52" s="3">
        <v>45201</v>
      </c>
      <c r="H52" s="4" t="s">
        <v>83</v>
      </c>
      <c r="I52" s="4" t="s">
        <v>19</v>
      </c>
      <c r="J52" s="4" t="str" cm="1">
        <f t="array" ref="J52">_xlfn.IFS(K52&lt;30,"Young Adult",K52&lt;50,"Adult",K52&gt;=50,"Senior")</f>
        <v>Young Adult</v>
      </c>
      <c r="K52" s="4">
        <v>27</v>
      </c>
      <c r="L52" s="4" t="s">
        <v>20</v>
      </c>
      <c r="M52" s="4">
        <v>3</v>
      </c>
      <c r="N52" s="16">
        <v>25</v>
      </c>
      <c r="O52" s="17">
        <f>M52*N52</f>
        <v>75</v>
      </c>
      <c r="P52" s="13">
        <f>$O52*$U$4</f>
        <v>1.125</v>
      </c>
      <c r="Q52" s="13">
        <f>$O52*$U$5</f>
        <v>1.5</v>
      </c>
      <c r="R52" s="13" cm="1">
        <f t="array" ref="R52">_xlfn.IFS(B52=2023,O52*$U$4,B52=2024,O52*$U$5)</f>
        <v>1.125</v>
      </c>
    </row>
    <row r="53" spans="1:18">
      <c r="A53" s="2">
        <v>52</v>
      </c>
      <c r="B53" s="4">
        <f t="shared" si="0"/>
        <v>2023</v>
      </c>
      <c r="C53" s="4">
        <f t="shared" si="1"/>
        <v>3</v>
      </c>
      <c r="D53" s="4">
        <f t="shared" si="2"/>
        <v>5</v>
      </c>
      <c r="E53" s="4" t="str">
        <f t="shared" si="3"/>
        <v>Sunday</v>
      </c>
      <c r="F53" s="4" t="str">
        <f t="shared" si="4"/>
        <v>March</v>
      </c>
      <c r="G53" s="3">
        <v>44990</v>
      </c>
      <c r="H53" s="4" t="s">
        <v>84</v>
      </c>
      <c r="I53" s="4" t="s">
        <v>22</v>
      </c>
      <c r="J53" s="4" t="str" cm="1">
        <f t="array" ref="J53">_xlfn.IFS(K53&lt;30,"Young Adult",K53&lt;50,"Adult",K53&gt;=50,"Senior")</f>
        <v>Adult</v>
      </c>
      <c r="K53" s="4">
        <v>36</v>
      </c>
      <c r="L53" s="4" t="s">
        <v>20</v>
      </c>
      <c r="M53" s="4">
        <v>1</v>
      </c>
      <c r="N53" s="16">
        <v>300</v>
      </c>
      <c r="O53" s="17">
        <f>M53*N53</f>
        <v>300</v>
      </c>
      <c r="P53" s="13">
        <f>$O53*$U$4</f>
        <v>4.5</v>
      </c>
      <c r="Q53" s="13">
        <f>$O53*$U$5</f>
        <v>6</v>
      </c>
      <c r="R53" s="13" cm="1">
        <f t="array" ref="R53">_xlfn.IFS(B53=2023,O53*$U$4,B53=2024,O53*$U$5)</f>
        <v>4.5</v>
      </c>
    </row>
    <row r="54" spans="1:18">
      <c r="A54" s="2">
        <v>53</v>
      </c>
      <c r="B54" s="4">
        <f t="shared" si="0"/>
        <v>2023</v>
      </c>
      <c r="C54" s="4">
        <f t="shared" si="1"/>
        <v>7</v>
      </c>
      <c r="D54" s="4">
        <f t="shared" si="2"/>
        <v>13</v>
      </c>
      <c r="E54" s="4" t="str">
        <f t="shared" si="3"/>
        <v>Thursday</v>
      </c>
      <c r="F54" s="4" t="str">
        <f t="shared" si="4"/>
        <v>July</v>
      </c>
      <c r="G54" s="3">
        <v>45120</v>
      </c>
      <c r="H54" s="4" t="s">
        <v>85</v>
      </c>
      <c r="I54" s="4" t="s">
        <v>19</v>
      </c>
      <c r="J54" s="4" t="str" cm="1">
        <f t="array" ref="J54">_xlfn.IFS(K54&lt;30,"Young Adult",K54&lt;50,"Adult",K54&gt;=50,"Senior")</f>
        <v>Adult</v>
      </c>
      <c r="K54" s="4">
        <v>34</v>
      </c>
      <c r="L54" s="4" t="s">
        <v>26</v>
      </c>
      <c r="M54" s="4">
        <v>2</v>
      </c>
      <c r="N54" s="16">
        <v>50</v>
      </c>
      <c r="O54" s="17">
        <f>M54*N54</f>
        <v>100</v>
      </c>
      <c r="P54" s="13">
        <f>$O54*$U$4</f>
        <v>1.5</v>
      </c>
      <c r="Q54" s="13">
        <f>$O54*$U$5</f>
        <v>2</v>
      </c>
      <c r="R54" s="13" cm="1">
        <f t="array" ref="R54">_xlfn.IFS(B54=2023,O54*$U$4,B54=2024,O54*$U$5)</f>
        <v>1.5</v>
      </c>
    </row>
    <row r="55" spans="1:18">
      <c r="A55" s="2">
        <v>54</v>
      </c>
      <c r="B55" s="4">
        <f t="shared" si="0"/>
        <v>2023</v>
      </c>
      <c r="C55" s="4">
        <f t="shared" si="1"/>
        <v>2</v>
      </c>
      <c r="D55" s="4">
        <f t="shared" si="2"/>
        <v>10</v>
      </c>
      <c r="E55" s="4" t="str">
        <f t="shared" si="3"/>
        <v>Friday</v>
      </c>
      <c r="F55" s="4" t="str">
        <f t="shared" si="4"/>
        <v>February</v>
      </c>
      <c r="G55" s="3">
        <v>44967</v>
      </c>
      <c r="H55" s="4" t="s">
        <v>86</v>
      </c>
      <c r="I55" s="4" t="s">
        <v>22</v>
      </c>
      <c r="J55" s="4" t="str" cm="1">
        <f t="array" ref="J55">_xlfn.IFS(K55&lt;30,"Young Adult",K55&lt;50,"Adult",K55&gt;=50,"Senior")</f>
        <v>Adult</v>
      </c>
      <c r="K55" s="4">
        <v>38</v>
      </c>
      <c r="L55" s="4" t="s">
        <v>26</v>
      </c>
      <c r="M55" s="4">
        <v>3</v>
      </c>
      <c r="N55" s="16">
        <v>500</v>
      </c>
      <c r="O55" s="17">
        <f>M55*N55</f>
        <v>1500</v>
      </c>
      <c r="P55" s="13">
        <f>$O55*$U$4</f>
        <v>22.5</v>
      </c>
      <c r="Q55" s="13">
        <f>$O55*$U$5</f>
        <v>30</v>
      </c>
      <c r="R55" s="13" cm="1">
        <f t="array" ref="R55">_xlfn.IFS(B55=2023,O55*$U$4,B55=2024,O55*$U$5)</f>
        <v>22.5</v>
      </c>
    </row>
    <row r="56" spans="1:18">
      <c r="A56" s="2">
        <v>55</v>
      </c>
      <c r="B56" s="4">
        <f t="shared" si="0"/>
        <v>2023</v>
      </c>
      <c r="C56" s="4">
        <f t="shared" si="1"/>
        <v>10</v>
      </c>
      <c r="D56" s="4">
        <f t="shared" si="2"/>
        <v>10</v>
      </c>
      <c r="E56" s="4" t="str">
        <f t="shared" si="3"/>
        <v>Tuesday</v>
      </c>
      <c r="F56" s="4" t="str">
        <f t="shared" si="4"/>
        <v>October</v>
      </c>
      <c r="G56" s="3">
        <v>45209</v>
      </c>
      <c r="H56" s="4" t="s">
        <v>87</v>
      </c>
      <c r="I56" s="4" t="s">
        <v>19</v>
      </c>
      <c r="J56" s="4" t="str" cm="1">
        <f t="array" ref="J56">_xlfn.IFS(K56&lt;30,"Young Adult",K56&lt;50,"Adult",K56&gt;=50,"Senior")</f>
        <v>Adult</v>
      </c>
      <c r="K56" s="4">
        <v>31</v>
      </c>
      <c r="L56" s="4" t="s">
        <v>20</v>
      </c>
      <c r="M56" s="4">
        <v>4</v>
      </c>
      <c r="N56" s="16">
        <v>30</v>
      </c>
      <c r="O56" s="17">
        <f>M56*N56</f>
        <v>120</v>
      </c>
      <c r="P56" s="13">
        <f>$O56*$U$4</f>
        <v>1.7999999999999998</v>
      </c>
      <c r="Q56" s="13">
        <f>$O56*$U$5</f>
        <v>2.4</v>
      </c>
      <c r="R56" s="13" cm="1">
        <f t="array" ref="R56">_xlfn.IFS(B56=2023,O56*$U$4,B56=2024,O56*$U$5)</f>
        <v>1.7999999999999998</v>
      </c>
    </row>
    <row r="57" spans="1:18">
      <c r="A57" s="2">
        <v>56</v>
      </c>
      <c r="B57" s="4">
        <f t="shared" si="0"/>
        <v>2023</v>
      </c>
      <c r="C57" s="4">
        <f t="shared" si="1"/>
        <v>5</v>
      </c>
      <c r="D57" s="4">
        <f t="shared" si="2"/>
        <v>31</v>
      </c>
      <c r="E57" s="4" t="str">
        <f t="shared" si="3"/>
        <v>Wednesday</v>
      </c>
      <c r="F57" s="4" t="str">
        <f t="shared" si="4"/>
        <v>May</v>
      </c>
      <c r="G57" s="3">
        <v>45077</v>
      </c>
      <c r="H57" s="4" t="s">
        <v>88</v>
      </c>
      <c r="I57" s="4" t="s">
        <v>22</v>
      </c>
      <c r="J57" s="4" t="str" cm="1">
        <f t="array" ref="J57">_xlfn.IFS(K57&lt;30,"Young Adult",K57&lt;50,"Adult",K57&gt;=50,"Senior")</f>
        <v>Young Adult</v>
      </c>
      <c r="K57" s="4">
        <v>26</v>
      </c>
      <c r="L57" s="4" t="s">
        <v>23</v>
      </c>
      <c r="M57" s="4">
        <v>3</v>
      </c>
      <c r="N57" s="16">
        <v>300</v>
      </c>
      <c r="O57" s="17">
        <f>M57*N57</f>
        <v>900</v>
      </c>
      <c r="P57" s="13">
        <f>$O57*$U$4</f>
        <v>13.5</v>
      </c>
      <c r="Q57" s="13">
        <f>$O57*$U$5</f>
        <v>18</v>
      </c>
      <c r="R57" s="13" cm="1">
        <f t="array" ref="R57">_xlfn.IFS(B57=2023,O57*$U$4,B57=2024,O57*$U$5)</f>
        <v>13.5</v>
      </c>
    </row>
    <row r="58" spans="1:18">
      <c r="A58" s="2">
        <v>57</v>
      </c>
      <c r="B58" s="4">
        <f t="shared" si="0"/>
        <v>2023</v>
      </c>
      <c r="C58" s="4">
        <f t="shared" si="1"/>
        <v>11</v>
      </c>
      <c r="D58" s="4">
        <f t="shared" si="2"/>
        <v>18</v>
      </c>
      <c r="E58" s="4" t="str">
        <f t="shared" si="3"/>
        <v>Saturday</v>
      </c>
      <c r="F58" s="4" t="str">
        <f t="shared" si="4"/>
        <v>November</v>
      </c>
      <c r="G58" s="3">
        <v>45248</v>
      </c>
      <c r="H58" s="4" t="s">
        <v>89</v>
      </c>
      <c r="I58" s="4" t="s">
        <v>22</v>
      </c>
      <c r="J58" s="4" t="str" cm="1">
        <f t="array" ref="J58">_xlfn.IFS(K58&lt;30,"Young Adult",K58&lt;50,"Adult",K58&gt;=50,"Senior")</f>
        <v>Senior</v>
      </c>
      <c r="K58" s="4">
        <v>63</v>
      </c>
      <c r="L58" s="4" t="s">
        <v>20</v>
      </c>
      <c r="M58" s="4">
        <v>1</v>
      </c>
      <c r="N58" s="16">
        <v>30</v>
      </c>
      <c r="O58" s="17">
        <f>M58*N58</f>
        <v>30</v>
      </c>
      <c r="P58" s="13">
        <f>$O58*$U$4</f>
        <v>0.44999999999999996</v>
      </c>
      <c r="Q58" s="13">
        <f>$O58*$U$5</f>
        <v>0.6</v>
      </c>
      <c r="R58" s="13" cm="1">
        <f t="array" ref="R58">_xlfn.IFS(B58=2023,O58*$U$4,B58=2024,O58*$U$5)</f>
        <v>0.44999999999999996</v>
      </c>
    </row>
    <row r="59" spans="1:18">
      <c r="A59" s="2">
        <v>58</v>
      </c>
      <c r="B59" s="4">
        <f t="shared" si="0"/>
        <v>2023</v>
      </c>
      <c r="C59" s="4">
        <f t="shared" si="1"/>
        <v>11</v>
      </c>
      <c r="D59" s="4">
        <f t="shared" si="2"/>
        <v>13</v>
      </c>
      <c r="E59" s="4" t="str">
        <f t="shared" si="3"/>
        <v>Monday</v>
      </c>
      <c r="F59" s="4" t="str">
        <f t="shared" si="4"/>
        <v>November</v>
      </c>
      <c r="G59" s="3">
        <v>45243</v>
      </c>
      <c r="H59" s="4" t="s">
        <v>90</v>
      </c>
      <c r="I59" s="4" t="s">
        <v>19</v>
      </c>
      <c r="J59" s="4" t="str" cm="1">
        <f t="array" ref="J59">_xlfn.IFS(K59&lt;30,"Young Adult",K59&lt;50,"Adult",K59&gt;=50,"Senior")</f>
        <v>Young Adult</v>
      </c>
      <c r="K59" s="4">
        <v>18</v>
      </c>
      <c r="L59" s="4" t="s">
        <v>23</v>
      </c>
      <c r="M59" s="4">
        <v>4</v>
      </c>
      <c r="N59" s="16">
        <v>300</v>
      </c>
      <c r="O59" s="17">
        <f>M59*N59</f>
        <v>1200</v>
      </c>
      <c r="P59" s="13">
        <f>$O59*$U$4</f>
        <v>18</v>
      </c>
      <c r="Q59" s="13">
        <f>$O59*$U$5</f>
        <v>24</v>
      </c>
      <c r="R59" s="13" cm="1">
        <f t="array" ref="R59">_xlfn.IFS(B59=2023,O59*$U$4,B59=2024,O59*$U$5)</f>
        <v>18</v>
      </c>
    </row>
    <row r="60" spans="1:18">
      <c r="A60" s="2">
        <v>59</v>
      </c>
      <c r="B60" s="4">
        <f t="shared" si="0"/>
        <v>2023</v>
      </c>
      <c r="C60" s="4">
        <f t="shared" si="1"/>
        <v>7</v>
      </c>
      <c r="D60" s="4">
        <f t="shared" si="2"/>
        <v>5</v>
      </c>
      <c r="E60" s="4" t="str">
        <f t="shared" si="3"/>
        <v>Wednesday</v>
      </c>
      <c r="F60" s="4" t="str">
        <f t="shared" si="4"/>
        <v>July</v>
      </c>
      <c r="G60" s="3">
        <v>45112</v>
      </c>
      <c r="H60" s="4" t="s">
        <v>91</v>
      </c>
      <c r="I60" s="4" t="s">
        <v>19</v>
      </c>
      <c r="J60" s="4" t="str" cm="1">
        <f t="array" ref="J60">_xlfn.IFS(K60&lt;30,"Young Adult",K60&lt;50,"Adult",K60&gt;=50,"Senior")</f>
        <v>Senior</v>
      </c>
      <c r="K60" s="4">
        <v>62</v>
      </c>
      <c r="L60" s="4" t="s">
        <v>23</v>
      </c>
      <c r="M60" s="4">
        <v>1</v>
      </c>
      <c r="N60" s="16">
        <v>50</v>
      </c>
      <c r="O60" s="17">
        <f>M60*N60</f>
        <v>50</v>
      </c>
      <c r="P60" s="13">
        <f>$O60*$U$4</f>
        <v>0.75</v>
      </c>
      <c r="Q60" s="13">
        <f>$O60*$U$5</f>
        <v>1</v>
      </c>
      <c r="R60" s="13" cm="1">
        <f t="array" ref="R60">_xlfn.IFS(B60=2023,O60*$U$4,B60=2024,O60*$U$5)</f>
        <v>0.75</v>
      </c>
    </row>
    <row r="61" spans="1:18">
      <c r="A61" s="2">
        <v>60</v>
      </c>
      <c r="B61" s="4">
        <f t="shared" si="0"/>
        <v>2023</v>
      </c>
      <c r="C61" s="4">
        <f t="shared" si="1"/>
        <v>10</v>
      </c>
      <c r="D61" s="4">
        <f t="shared" si="2"/>
        <v>23</v>
      </c>
      <c r="E61" s="4" t="str">
        <f t="shared" si="3"/>
        <v>Monday</v>
      </c>
      <c r="F61" s="4" t="str">
        <f t="shared" si="4"/>
        <v>October</v>
      </c>
      <c r="G61" s="3">
        <v>45222</v>
      </c>
      <c r="H61" s="4" t="s">
        <v>92</v>
      </c>
      <c r="I61" s="4" t="s">
        <v>19</v>
      </c>
      <c r="J61" s="4" t="str" cm="1">
        <f t="array" ref="J61">_xlfn.IFS(K61&lt;30,"Young Adult",K61&lt;50,"Adult",K61&gt;=50,"Senior")</f>
        <v>Adult</v>
      </c>
      <c r="K61" s="4">
        <v>30</v>
      </c>
      <c r="L61" s="4" t="s">
        <v>20</v>
      </c>
      <c r="M61" s="4">
        <v>3</v>
      </c>
      <c r="N61" s="16">
        <v>50</v>
      </c>
      <c r="O61" s="17">
        <f>M61*N61</f>
        <v>150</v>
      </c>
      <c r="P61" s="13">
        <f>$O61*$U$4</f>
        <v>2.25</v>
      </c>
      <c r="Q61" s="13">
        <f>$O61*$U$5</f>
        <v>3</v>
      </c>
      <c r="R61" s="13" cm="1">
        <f t="array" ref="R61">_xlfn.IFS(B61=2023,O61*$U$4,B61=2024,O61*$U$5)</f>
        <v>2.25</v>
      </c>
    </row>
    <row r="62" spans="1:18">
      <c r="A62" s="2">
        <v>61</v>
      </c>
      <c r="B62" s="4">
        <f t="shared" si="0"/>
        <v>2023</v>
      </c>
      <c r="C62" s="4">
        <f t="shared" si="1"/>
        <v>4</v>
      </c>
      <c r="D62" s="4">
        <f t="shared" si="2"/>
        <v>9</v>
      </c>
      <c r="E62" s="4" t="str">
        <f t="shared" si="3"/>
        <v>Sunday</v>
      </c>
      <c r="F62" s="4" t="str">
        <f t="shared" si="4"/>
        <v>April</v>
      </c>
      <c r="G62" s="3">
        <v>45025</v>
      </c>
      <c r="H62" s="4" t="s">
        <v>93</v>
      </c>
      <c r="I62" s="4" t="s">
        <v>19</v>
      </c>
      <c r="J62" s="4" t="str" cm="1">
        <f t="array" ref="J62">_xlfn.IFS(K62&lt;30,"Young Adult",K62&lt;50,"Adult",K62&gt;=50,"Senior")</f>
        <v>Young Adult</v>
      </c>
      <c r="K62" s="4">
        <v>21</v>
      </c>
      <c r="L62" s="4" t="s">
        <v>20</v>
      </c>
      <c r="M62" s="4">
        <v>4</v>
      </c>
      <c r="N62" s="16">
        <v>50</v>
      </c>
      <c r="O62" s="17">
        <f>M62*N62</f>
        <v>200</v>
      </c>
      <c r="P62" s="13">
        <f>$O62*$U$4</f>
        <v>3</v>
      </c>
      <c r="Q62" s="13">
        <f>$O62*$U$5</f>
        <v>4</v>
      </c>
      <c r="R62" s="13" cm="1">
        <f t="array" ref="R62">_xlfn.IFS(B62=2023,O62*$U$4,B62=2024,O62*$U$5)</f>
        <v>3</v>
      </c>
    </row>
    <row r="63" spans="1:18">
      <c r="A63" s="2">
        <v>62</v>
      </c>
      <c r="B63" s="4">
        <f t="shared" si="0"/>
        <v>2023</v>
      </c>
      <c r="C63" s="4">
        <f t="shared" si="1"/>
        <v>12</v>
      </c>
      <c r="D63" s="4">
        <f t="shared" si="2"/>
        <v>27</v>
      </c>
      <c r="E63" s="4" t="str">
        <f t="shared" si="3"/>
        <v>Wednesday</v>
      </c>
      <c r="F63" s="4" t="str">
        <f t="shared" si="4"/>
        <v>December</v>
      </c>
      <c r="G63" s="3">
        <v>45287</v>
      </c>
      <c r="H63" s="4" t="s">
        <v>94</v>
      </c>
      <c r="I63" s="4" t="s">
        <v>19</v>
      </c>
      <c r="J63" s="4" t="str" cm="1">
        <f t="array" ref="J63">_xlfn.IFS(K63&lt;30,"Young Adult",K63&lt;50,"Adult",K63&gt;=50,"Senior")</f>
        <v>Young Adult</v>
      </c>
      <c r="K63" s="4">
        <v>18</v>
      </c>
      <c r="L63" s="4" t="s">
        <v>20</v>
      </c>
      <c r="M63" s="4">
        <v>2</v>
      </c>
      <c r="N63" s="16">
        <v>50</v>
      </c>
      <c r="O63" s="17">
        <f>M63*N63</f>
        <v>100</v>
      </c>
      <c r="P63" s="13">
        <f>$O63*$U$4</f>
        <v>1.5</v>
      </c>
      <c r="Q63" s="13">
        <f>$O63*$U$5</f>
        <v>2</v>
      </c>
      <c r="R63" s="13" cm="1">
        <f t="array" ref="R63">_xlfn.IFS(B63=2023,O63*$U$4,B63=2024,O63*$U$5)</f>
        <v>1.5</v>
      </c>
    </row>
    <row r="64" spans="1:18">
      <c r="A64" s="2">
        <v>63</v>
      </c>
      <c r="B64" s="4">
        <f t="shared" si="0"/>
        <v>2023</v>
      </c>
      <c r="C64" s="4">
        <f t="shared" si="1"/>
        <v>2</v>
      </c>
      <c r="D64" s="4">
        <f t="shared" si="2"/>
        <v>5</v>
      </c>
      <c r="E64" s="4" t="str">
        <f t="shared" si="3"/>
        <v>Sunday</v>
      </c>
      <c r="F64" s="4" t="str">
        <f t="shared" si="4"/>
        <v>February</v>
      </c>
      <c r="G64" s="3">
        <v>44962</v>
      </c>
      <c r="H64" s="4" t="s">
        <v>95</v>
      </c>
      <c r="I64" s="4" t="s">
        <v>19</v>
      </c>
      <c r="J64" s="4" t="str" cm="1">
        <f t="array" ref="J64">_xlfn.IFS(K64&lt;30,"Young Adult",K64&lt;50,"Adult",K64&gt;=50,"Senior")</f>
        <v>Senior</v>
      </c>
      <c r="K64" s="4">
        <v>57</v>
      </c>
      <c r="L64" s="4" t="s">
        <v>26</v>
      </c>
      <c r="M64" s="4">
        <v>2</v>
      </c>
      <c r="N64" s="16">
        <v>25</v>
      </c>
      <c r="O64" s="17">
        <f>M64*N64</f>
        <v>50</v>
      </c>
      <c r="P64" s="13">
        <f>$O64*$U$4</f>
        <v>0.75</v>
      </c>
      <c r="Q64" s="13">
        <f>$O64*$U$5</f>
        <v>1</v>
      </c>
      <c r="R64" s="13" cm="1">
        <f t="array" ref="R64">_xlfn.IFS(B64=2023,O64*$U$4,B64=2024,O64*$U$5)</f>
        <v>0.75</v>
      </c>
    </row>
    <row r="65" spans="1:18">
      <c r="A65" s="2">
        <v>64</v>
      </c>
      <c r="B65" s="4">
        <f t="shared" si="0"/>
        <v>2023</v>
      </c>
      <c r="C65" s="4">
        <f t="shared" si="1"/>
        <v>1</v>
      </c>
      <c r="D65" s="4">
        <f t="shared" si="2"/>
        <v>24</v>
      </c>
      <c r="E65" s="4" t="str">
        <f t="shared" si="3"/>
        <v>Tuesday</v>
      </c>
      <c r="F65" s="4" t="str">
        <f t="shared" si="4"/>
        <v>January</v>
      </c>
      <c r="G65" s="3">
        <v>44950</v>
      </c>
      <c r="H65" s="4" t="s">
        <v>96</v>
      </c>
      <c r="I65" s="4" t="s">
        <v>19</v>
      </c>
      <c r="J65" s="4" t="str" cm="1">
        <f t="array" ref="J65">_xlfn.IFS(K65&lt;30,"Young Adult",K65&lt;50,"Adult",K65&gt;=50,"Senior")</f>
        <v>Adult</v>
      </c>
      <c r="K65" s="4">
        <v>49</v>
      </c>
      <c r="L65" s="4" t="s">
        <v>23</v>
      </c>
      <c r="M65" s="4">
        <v>4</v>
      </c>
      <c r="N65" s="16">
        <v>25</v>
      </c>
      <c r="O65" s="17">
        <f>M65*N65</f>
        <v>100</v>
      </c>
      <c r="P65" s="13">
        <f>$O65*$U$4</f>
        <v>1.5</v>
      </c>
      <c r="Q65" s="13">
        <f>$O65*$U$5</f>
        <v>2</v>
      </c>
      <c r="R65" s="13" cm="1">
        <f t="array" ref="R65">_xlfn.IFS(B65=2023,O65*$U$4,B65=2024,O65*$U$5)</f>
        <v>1.5</v>
      </c>
    </row>
    <row r="66" spans="1:18">
      <c r="A66" s="2">
        <v>65</v>
      </c>
      <c r="B66" s="4">
        <f t="shared" si="0"/>
        <v>2023</v>
      </c>
      <c r="C66" s="4">
        <f t="shared" si="1"/>
        <v>12</v>
      </c>
      <c r="D66" s="4">
        <f t="shared" si="2"/>
        <v>5</v>
      </c>
      <c r="E66" s="4" t="str">
        <f t="shared" si="3"/>
        <v>Tuesday</v>
      </c>
      <c r="F66" s="4" t="str">
        <f t="shared" si="4"/>
        <v>December</v>
      </c>
      <c r="G66" s="3">
        <v>45265</v>
      </c>
      <c r="H66" s="4" t="s">
        <v>97</v>
      </c>
      <c r="I66" s="4" t="s">
        <v>19</v>
      </c>
      <c r="J66" s="4" t="str" cm="1">
        <f t="array" ref="J66">_xlfn.IFS(K66&lt;30,"Young Adult",K66&lt;50,"Adult",K66&gt;=50,"Senior")</f>
        <v>Senior</v>
      </c>
      <c r="K66" s="4">
        <v>51</v>
      </c>
      <c r="L66" s="4" t="s">
        <v>26</v>
      </c>
      <c r="M66" s="4">
        <v>4</v>
      </c>
      <c r="N66" s="16">
        <v>500</v>
      </c>
      <c r="O66" s="17">
        <f>M66*N66</f>
        <v>2000</v>
      </c>
      <c r="P66" s="13">
        <f>$O66*$U$4</f>
        <v>30</v>
      </c>
      <c r="Q66" s="13">
        <f>$O66*$U$5</f>
        <v>40</v>
      </c>
      <c r="R66" s="13" cm="1">
        <f t="array" ref="R66">_xlfn.IFS(B66=2023,O66*$U$4,B66=2024,O66*$U$5)</f>
        <v>30</v>
      </c>
    </row>
    <row r="67" spans="1:18">
      <c r="A67" s="2">
        <v>66</v>
      </c>
      <c r="B67" s="4">
        <f t="shared" ref="B67:B130" si="6">YEAR(G67)</f>
        <v>2023</v>
      </c>
      <c r="C67" s="4">
        <f t="shared" ref="C67:C130" si="7">MONTH(G67)</f>
        <v>4</v>
      </c>
      <c r="D67" s="4">
        <f t="shared" ref="D67:D130" si="8">DAY(G67)</f>
        <v>27</v>
      </c>
      <c r="E67" s="4" t="str">
        <f t="shared" ref="E67:E130" si="9">TEXT(G67,"dddd")</f>
        <v>Thursday</v>
      </c>
      <c r="F67" s="4" t="str">
        <f t="shared" ref="F67:F130" si="10">TEXT(G67,"mmmm")</f>
        <v>April</v>
      </c>
      <c r="G67" s="3">
        <v>45043</v>
      </c>
      <c r="H67" s="4" t="s">
        <v>98</v>
      </c>
      <c r="I67" s="4" t="s">
        <v>22</v>
      </c>
      <c r="J67" s="4" t="str" cm="1">
        <f t="array" ref="J67">_xlfn.IFS(K67&lt;30,"Young Adult",K67&lt;50,"Adult",K67&gt;=50,"Senior")</f>
        <v>Adult</v>
      </c>
      <c r="K67" s="4">
        <v>45</v>
      </c>
      <c r="L67" s="4" t="s">
        <v>26</v>
      </c>
      <c r="M67" s="4">
        <v>1</v>
      </c>
      <c r="N67" s="16">
        <v>30</v>
      </c>
      <c r="O67" s="17">
        <f>M67*N67</f>
        <v>30</v>
      </c>
      <c r="P67" s="13">
        <f>$O67*$U$4</f>
        <v>0.44999999999999996</v>
      </c>
      <c r="Q67" s="13">
        <f>$O67*$U$5</f>
        <v>0.6</v>
      </c>
      <c r="R67" s="13" cm="1">
        <f t="array" ref="R67">_xlfn.IFS(B67=2023,O67*$U$4,B67=2024,O67*$U$5)</f>
        <v>0.44999999999999996</v>
      </c>
    </row>
    <row r="68" spans="1:18">
      <c r="A68" s="2">
        <v>67</v>
      </c>
      <c r="B68" s="4">
        <f t="shared" si="6"/>
        <v>2023</v>
      </c>
      <c r="C68" s="4">
        <f t="shared" si="7"/>
        <v>5</v>
      </c>
      <c r="D68" s="4">
        <f t="shared" si="8"/>
        <v>29</v>
      </c>
      <c r="E68" s="4" t="str">
        <f t="shared" si="9"/>
        <v>Monday</v>
      </c>
      <c r="F68" s="4" t="str">
        <f t="shared" si="10"/>
        <v>May</v>
      </c>
      <c r="G68" s="3">
        <v>45075</v>
      </c>
      <c r="H68" s="4" t="s">
        <v>99</v>
      </c>
      <c r="I68" s="4" t="s">
        <v>22</v>
      </c>
      <c r="J68" s="4" t="str" cm="1">
        <f t="array" ref="J68">_xlfn.IFS(K68&lt;30,"Young Adult",K68&lt;50,"Adult",K68&gt;=50,"Senior")</f>
        <v>Adult</v>
      </c>
      <c r="K68" s="4">
        <v>48</v>
      </c>
      <c r="L68" s="4" t="s">
        <v>20</v>
      </c>
      <c r="M68" s="4">
        <v>4</v>
      </c>
      <c r="N68" s="16">
        <v>300</v>
      </c>
      <c r="O68" s="17">
        <f>M68*N68</f>
        <v>1200</v>
      </c>
      <c r="P68" s="13">
        <f>$O68*$U$4</f>
        <v>18</v>
      </c>
      <c r="Q68" s="13">
        <f>$O68*$U$5</f>
        <v>24</v>
      </c>
      <c r="R68" s="13" cm="1">
        <f t="array" ref="R68">_xlfn.IFS(B68=2023,O68*$U$4,B68=2024,O68*$U$5)</f>
        <v>18</v>
      </c>
    </row>
    <row r="69" spans="1:18">
      <c r="A69" s="2">
        <v>68</v>
      </c>
      <c r="B69" s="4">
        <f t="shared" si="6"/>
        <v>2023</v>
      </c>
      <c r="C69" s="4">
        <f t="shared" si="7"/>
        <v>2</v>
      </c>
      <c r="D69" s="4">
        <f t="shared" si="8"/>
        <v>10</v>
      </c>
      <c r="E69" s="4" t="str">
        <f t="shared" si="9"/>
        <v>Friday</v>
      </c>
      <c r="F69" s="4" t="str">
        <f t="shared" si="10"/>
        <v>February</v>
      </c>
      <c r="G69" s="3">
        <v>44967</v>
      </c>
      <c r="H69" s="4" t="s">
        <v>100</v>
      </c>
      <c r="I69" s="4" t="s">
        <v>19</v>
      </c>
      <c r="J69" s="4" t="str" cm="1">
        <f t="array" ref="J69">_xlfn.IFS(K69&lt;30,"Young Adult",K69&lt;50,"Adult",K69&gt;=50,"Senior")</f>
        <v>Young Adult</v>
      </c>
      <c r="K69" s="4">
        <v>25</v>
      </c>
      <c r="L69" s="4" t="s">
        <v>26</v>
      </c>
      <c r="M69" s="4">
        <v>1</v>
      </c>
      <c r="N69" s="16">
        <v>300</v>
      </c>
      <c r="O69" s="17">
        <f>M69*N69</f>
        <v>300</v>
      </c>
      <c r="P69" s="13">
        <f>$O69*$U$4</f>
        <v>4.5</v>
      </c>
      <c r="Q69" s="13">
        <f>$O69*$U$5</f>
        <v>6</v>
      </c>
      <c r="R69" s="13" cm="1">
        <f t="array" ref="R69">_xlfn.IFS(B69=2023,O69*$U$4,B69=2024,O69*$U$5)</f>
        <v>4.5</v>
      </c>
    </row>
    <row r="70" spans="1:18">
      <c r="A70" s="2">
        <v>69</v>
      </c>
      <c r="B70" s="4">
        <f t="shared" si="6"/>
        <v>2023</v>
      </c>
      <c r="C70" s="4">
        <f t="shared" si="7"/>
        <v>4</v>
      </c>
      <c r="D70" s="4">
        <f t="shared" si="8"/>
        <v>30</v>
      </c>
      <c r="E70" s="4" t="str">
        <f t="shared" si="9"/>
        <v>Sunday</v>
      </c>
      <c r="F70" s="4" t="str">
        <f t="shared" si="10"/>
        <v>April</v>
      </c>
      <c r="G70" s="3">
        <v>45046</v>
      </c>
      <c r="H70" s="4" t="s">
        <v>101</v>
      </c>
      <c r="I70" s="4" t="s">
        <v>22</v>
      </c>
      <c r="J70" s="4" t="str" cm="1">
        <f t="array" ref="J70">_xlfn.IFS(K70&lt;30,"Young Adult",K70&lt;50,"Adult",K70&gt;=50,"Senior")</f>
        <v>Senior</v>
      </c>
      <c r="K70" s="4">
        <v>56</v>
      </c>
      <c r="L70" s="4" t="s">
        <v>20</v>
      </c>
      <c r="M70" s="4">
        <v>3</v>
      </c>
      <c r="N70" s="16">
        <v>25</v>
      </c>
      <c r="O70" s="17">
        <f>M70*N70</f>
        <v>75</v>
      </c>
      <c r="P70" s="13">
        <f>$O70*$U$4</f>
        <v>1.125</v>
      </c>
      <c r="Q70" s="13">
        <f>$O70*$U$5</f>
        <v>1.5</v>
      </c>
      <c r="R70" s="13" cm="1">
        <f t="array" ref="R70">_xlfn.IFS(B70=2023,O70*$U$4,B70=2024,O70*$U$5)</f>
        <v>1.125</v>
      </c>
    </row>
    <row r="71" spans="1:18">
      <c r="A71" s="2">
        <v>70</v>
      </c>
      <c r="B71" s="4">
        <f t="shared" si="6"/>
        <v>2023</v>
      </c>
      <c r="C71" s="4">
        <f t="shared" si="7"/>
        <v>2</v>
      </c>
      <c r="D71" s="4">
        <f t="shared" si="8"/>
        <v>21</v>
      </c>
      <c r="E71" s="4" t="str">
        <f t="shared" si="9"/>
        <v>Tuesday</v>
      </c>
      <c r="F71" s="4" t="str">
        <f t="shared" si="10"/>
        <v>February</v>
      </c>
      <c r="G71" s="3">
        <v>44978</v>
      </c>
      <c r="H71" s="4" t="s">
        <v>102</v>
      </c>
      <c r="I71" s="4" t="s">
        <v>22</v>
      </c>
      <c r="J71" s="4" t="str" cm="1">
        <f t="array" ref="J71">_xlfn.IFS(K71&lt;30,"Young Adult",K71&lt;50,"Adult",K71&gt;=50,"Senior")</f>
        <v>Adult</v>
      </c>
      <c r="K71" s="4">
        <v>43</v>
      </c>
      <c r="L71" s="4" t="s">
        <v>23</v>
      </c>
      <c r="M71" s="4">
        <v>1</v>
      </c>
      <c r="N71" s="16">
        <v>300</v>
      </c>
      <c r="O71" s="17">
        <f>M71*N71</f>
        <v>300</v>
      </c>
      <c r="P71" s="13">
        <f>$O71*$U$4</f>
        <v>4.5</v>
      </c>
      <c r="Q71" s="13">
        <f>$O71*$U$5</f>
        <v>6</v>
      </c>
      <c r="R71" s="13" cm="1">
        <f t="array" ref="R71">_xlfn.IFS(B71=2023,O71*$U$4,B71=2024,O71*$U$5)</f>
        <v>4.5</v>
      </c>
    </row>
    <row r="72" spans="1:18">
      <c r="A72" s="2">
        <v>71</v>
      </c>
      <c r="B72" s="4">
        <f t="shared" si="6"/>
        <v>2023</v>
      </c>
      <c r="C72" s="4">
        <f t="shared" si="7"/>
        <v>7</v>
      </c>
      <c r="D72" s="4">
        <f t="shared" si="8"/>
        <v>14</v>
      </c>
      <c r="E72" s="4" t="str">
        <f t="shared" si="9"/>
        <v>Friday</v>
      </c>
      <c r="F72" s="4" t="str">
        <f t="shared" si="10"/>
        <v>July</v>
      </c>
      <c r="G72" s="3">
        <v>45121</v>
      </c>
      <c r="H72" s="4" t="s">
        <v>103</v>
      </c>
      <c r="I72" s="4" t="s">
        <v>22</v>
      </c>
      <c r="J72" s="4" t="str" cm="1">
        <f t="array" ref="J72">_xlfn.IFS(K72&lt;30,"Young Adult",K72&lt;50,"Adult",K72&gt;=50,"Senior")</f>
        <v>Senior</v>
      </c>
      <c r="K72" s="4">
        <v>51</v>
      </c>
      <c r="L72" s="4" t="s">
        <v>20</v>
      </c>
      <c r="M72" s="4">
        <v>4</v>
      </c>
      <c r="N72" s="16">
        <v>25</v>
      </c>
      <c r="O72" s="17">
        <f>M72*N72</f>
        <v>100</v>
      </c>
      <c r="P72" s="13">
        <f>$O72*$U$4</f>
        <v>1.5</v>
      </c>
      <c r="Q72" s="13">
        <f>$O72*$U$5</f>
        <v>2</v>
      </c>
      <c r="R72" s="13" cm="1">
        <f t="array" ref="R72">_xlfn.IFS(B72=2023,O72*$U$4,B72=2024,O72*$U$5)</f>
        <v>1.5</v>
      </c>
    </row>
    <row r="73" spans="1:18">
      <c r="A73" s="2">
        <v>72</v>
      </c>
      <c r="B73" s="4">
        <f t="shared" si="6"/>
        <v>2023</v>
      </c>
      <c r="C73" s="4">
        <f t="shared" si="7"/>
        <v>5</v>
      </c>
      <c r="D73" s="4">
        <f t="shared" si="8"/>
        <v>23</v>
      </c>
      <c r="E73" s="4" t="str">
        <f t="shared" si="9"/>
        <v>Tuesday</v>
      </c>
      <c r="F73" s="4" t="str">
        <f t="shared" si="10"/>
        <v>May</v>
      </c>
      <c r="G73" s="3">
        <v>45069</v>
      </c>
      <c r="H73" s="4" t="s">
        <v>104</v>
      </c>
      <c r="I73" s="4" t="s">
        <v>22</v>
      </c>
      <c r="J73" s="4" t="str" cm="1">
        <f t="array" ref="J73">_xlfn.IFS(K73&lt;30,"Young Adult",K73&lt;50,"Adult",K73&gt;=50,"Senior")</f>
        <v>Young Adult</v>
      </c>
      <c r="K73" s="4">
        <v>20</v>
      </c>
      <c r="L73" s="4" t="s">
        <v>26</v>
      </c>
      <c r="M73" s="4">
        <v>4</v>
      </c>
      <c r="N73" s="16">
        <v>500</v>
      </c>
      <c r="O73" s="17">
        <f>M73*N73</f>
        <v>2000</v>
      </c>
      <c r="P73" s="13">
        <f>$O73*$U$4</f>
        <v>30</v>
      </c>
      <c r="Q73" s="13">
        <f>$O73*$U$5</f>
        <v>40</v>
      </c>
      <c r="R73" s="13" cm="1">
        <f t="array" ref="R73">_xlfn.IFS(B73=2023,O73*$U$4,B73=2024,O73*$U$5)</f>
        <v>30</v>
      </c>
    </row>
    <row r="74" spans="1:18">
      <c r="A74" s="2">
        <v>73</v>
      </c>
      <c r="B74" s="4">
        <f t="shared" si="6"/>
        <v>2023</v>
      </c>
      <c r="C74" s="4">
        <f t="shared" si="7"/>
        <v>8</v>
      </c>
      <c r="D74" s="4">
        <f t="shared" si="8"/>
        <v>21</v>
      </c>
      <c r="E74" s="4" t="str">
        <f t="shared" si="9"/>
        <v>Monday</v>
      </c>
      <c r="F74" s="4" t="str">
        <f t="shared" si="10"/>
        <v>August</v>
      </c>
      <c r="G74" s="3">
        <v>45159</v>
      </c>
      <c r="H74" s="4" t="s">
        <v>105</v>
      </c>
      <c r="I74" s="4" t="s">
        <v>19</v>
      </c>
      <c r="J74" s="4" t="str" cm="1">
        <f t="array" ref="J74">_xlfn.IFS(K74&lt;30,"Young Adult",K74&lt;50,"Adult",K74&gt;=50,"Senior")</f>
        <v>Young Adult</v>
      </c>
      <c r="K74" s="4">
        <v>29</v>
      </c>
      <c r="L74" s="4" t="s">
        <v>26</v>
      </c>
      <c r="M74" s="4">
        <v>3</v>
      </c>
      <c r="N74" s="16">
        <v>30</v>
      </c>
      <c r="O74" s="17">
        <f>M74*N74</f>
        <v>90</v>
      </c>
      <c r="P74" s="13">
        <f>$O74*$U$4</f>
        <v>1.3499999999999999</v>
      </c>
      <c r="Q74" s="13">
        <f>$O74*$U$5</f>
        <v>1.8</v>
      </c>
      <c r="R74" s="13" cm="1">
        <f t="array" ref="R74">_xlfn.IFS(B74=2023,O74*$U$4,B74=2024,O74*$U$5)</f>
        <v>1.3499999999999999</v>
      </c>
    </row>
    <row r="75" spans="1:18">
      <c r="A75" s="2">
        <v>74</v>
      </c>
      <c r="B75" s="4">
        <f t="shared" si="6"/>
        <v>2023</v>
      </c>
      <c r="C75" s="4">
        <f t="shared" si="7"/>
        <v>11</v>
      </c>
      <c r="D75" s="4">
        <f t="shared" si="8"/>
        <v>22</v>
      </c>
      <c r="E75" s="4" t="str">
        <f t="shared" si="9"/>
        <v>Wednesday</v>
      </c>
      <c r="F75" s="4" t="str">
        <f t="shared" si="10"/>
        <v>November</v>
      </c>
      <c r="G75" s="3">
        <v>45252</v>
      </c>
      <c r="H75" s="4" t="s">
        <v>106</v>
      </c>
      <c r="I75" s="4" t="s">
        <v>22</v>
      </c>
      <c r="J75" s="4" t="str" cm="1">
        <f t="array" ref="J75">_xlfn.IFS(K75&lt;30,"Young Adult",K75&lt;50,"Adult",K75&gt;=50,"Senior")</f>
        <v>Young Adult</v>
      </c>
      <c r="K75" s="4">
        <v>18</v>
      </c>
      <c r="L75" s="4" t="s">
        <v>20</v>
      </c>
      <c r="M75" s="4">
        <v>4</v>
      </c>
      <c r="N75" s="16">
        <v>500</v>
      </c>
      <c r="O75" s="17">
        <f>M75*N75</f>
        <v>2000</v>
      </c>
      <c r="P75" s="13">
        <f>$O75*$U$4</f>
        <v>30</v>
      </c>
      <c r="Q75" s="13">
        <f>$O75*$U$5</f>
        <v>40</v>
      </c>
      <c r="R75" s="13" cm="1">
        <f t="array" ref="R75">_xlfn.IFS(B75=2023,O75*$U$4,B75=2024,O75*$U$5)</f>
        <v>30</v>
      </c>
    </row>
    <row r="76" spans="1:18">
      <c r="A76" s="2">
        <v>75</v>
      </c>
      <c r="B76" s="4">
        <f t="shared" si="6"/>
        <v>2023</v>
      </c>
      <c r="C76" s="4">
        <f t="shared" si="7"/>
        <v>7</v>
      </c>
      <c r="D76" s="4">
        <f t="shared" si="8"/>
        <v>6</v>
      </c>
      <c r="E76" s="4" t="str">
        <f t="shared" si="9"/>
        <v>Thursday</v>
      </c>
      <c r="F76" s="4" t="str">
        <f t="shared" si="10"/>
        <v>July</v>
      </c>
      <c r="G76" s="3">
        <v>45113</v>
      </c>
      <c r="H76" s="4" t="s">
        <v>107</v>
      </c>
      <c r="I76" s="4" t="s">
        <v>19</v>
      </c>
      <c r="J76" s="4" t="str" cm="1">
        <f t="array" ref="J76">_xlfn.IFS(K76&lt;30,"Young Adult",K76&lt;50,"Adult",K76&gt;=50,"Senior")</f>
        <v>Senior</v>
      </c>
      <c r="K76" s="4">
        <v>61</v>
      </c>
      <c r="L76" s="4" t="s">
        <v>20</v>
      </c>
      <c r="M76" s="4">
        <v>4</v>
      </c>
      <c r="N76" s="16">
        <v>50</v>
      </c>
      <c r="O76" s="17">
        <f>M76*N76</f>
        <v>200</v>
      </c>
      <c r="P76" s="13">
        <f>$O76*$U$4</f>
        <v>3</v>
      </c>
      <c r="Q76" s="13">
        <f>$O76*$U$5</f>
        <v>4</v>
      </c>
      <c r="R76" s="13" cm="1">
        <f t="array" ref="R76">_xlfn.IFS(B76=2023,O76*$U$4,B76=2024,O76*$U$5)</f>
        <v>3</v>
      </c>
    </row>
    <row r="77" spans="1:18">
      <c r="A77" s="2">
        <v>76</v>
      </c>
      <c r="B77" s="4">
        <f t="shared" si="6"/>
        <v>2023</v>
      </c>
      <c r="C77" s="4">
        <f t="shared" si="7"/>
        <v>3</v>
      </c>
      <c r="D77" s="4">
        <f t="shared" si="8"/>
        <v>25</v>
      </c>
      <c r="E77" s="4" t="str">
        <f t="shared" si="9"/>
        <v>Saturday</v>
      </c>
      <c r="F77" s="4" t="str">
        <f t="shared" si="10"/>
        <v>March</v>
      </c>
      <c r="G77" s="3">
        <v>45010</v>
      </c>
      <c r="H77" s="4" t="s">
        <v>108</v>
      </c>
      <c r="I77" s="4" t="s">
        <v>22</v>
      </c>
      <c r="J77" s="4" t="str" cm="1">
        <f t="array" ref="J77">_xlfn.IFS(K77&lt;30,"Young Adult",K77&lt;50,"Adult",K77&gt;=50,"Senior")</f>
        <v>Young Adult</v>
      </c>
      <c r="K77" s="4">
        <v>22</v>
      </c>
      <c r="L77" s="4" t="s">
        <v>26</v>
      </c>
      <c r="M77" s="4">
        <v>2</v>
      </c>
      <c r="N77" s="16">
        <v>50</v>
      </c>
      <c r="O77" s="17">
        <f>M77*N77</f>
        <v>100</v>
      </c>
      <c r="P77" s="13">
        <f>$O77*$U$4</f>
        <v>1.5</v>
      </c>
      <c r="Q77" s="13">
        <f>$O77*$U$5</f>
        <v>2</v>
      </c>
      <c r="R77" s="13" cm="1">
        <f t="array" ref="R77">_xlfn.IFS(B77=2023,O77*$U$4,B77=2024,O77*$U$5)</f>
        <v>1.5</v>
      </c>
    </row>
    <row r="78" spans="1:18">
      <c r="A78" s="2">
        <v>77</v>
      </c>
      <c r="B78" s="4">
        <f t="shared" si="6"/>
        <v>2023</v>
      </c>
      <c r="C78" s="4">
        <f t="shared" si="7"/>
        <v>7</v>
      </c>
      <c r="D78" s="4">
        <f t="shared" si="8"/>
        <v>9</v>
      </c>
      <c r="E78" s="4" t="str">
        <f t="shared" si="9"/>
        <v>Sunday</v>
      </c>
      <c r="F78" s="4" t="str">
        <f t="shared" si="10"/>
        <v>July</v>
      </c>
      <c r="G78" s="3">
        <v>45116</v>
      </c>
      <c r="H78" s="4" t="s">
        <v>109</v>
      </c>
      <c r="I78" s="4" t="s">
        <v>22</v>
      </c>
      <c r="J78" s="4" t="str" cm="1">
        <f t="array" ref="J78">_xlfn.IFS(K78&lt;30,"Young Adult",K78&lt;50,"Adult",K78&gt;=50,"Senior")</f>
        <v>Adult</v>
      </c>
      <c r="K78" s="4">
        <v>47</v>
      </c>
      <c r="L78" s="4" t="s">
        <v>23</v>
      </c>
      <c r="M78" s="4">
        <v>2</v>
      </c>
      <c r="N78" s="16">
        <v>50</v>
      </c>
      <c r="O78" s="17">
        <f>M78*N78</f>
        <v>100</v>
      </c>
      <c r="P78" s="13">
        <f>$O78*$U$4</f>
        <v>1.5</v>
      </c>
      <c r="Q78" s="13">
        <f>$O78*$U$5</f>
        <v>2</v>
      </c>
      <c r="R78" s="13" cm="1">
        <f t="array" ref="R78">_xlfn.IFS(B78=2023,O78*$U$4,B78=2024,O78*$U$5)</f>
        <v>1.5</v>
      </c>
    </row>
    <row r="79" spans="1:18">
      <c r="A79" s="2">
        <v>78</v>
      </c>
      <c r="B79" s="4">
        <f t="shared" si="6"/>
        <v>2023</v>
      </c>
      <c r="C79" s="4">
        <f t="shared" si="7"/>
        <v>7</v>
      </c>
      <c r="D79" s="4">
        <f t="shared" si="8"/>
        <v>1</v>
      </c>
      <c r="E79" s="4" t="str">
        <f t="shared" si="9"/>
        <v>Saturday</v>
      </c>
      <c r="F79" s="4" t="str">
        <f t="shared" si="10"/>
        <v>July</v>
      </c>
      <c r="G79" s="3">
        <v>45108</v>
      </c>
      <c r="H79" s="4" t="s">
        <v>110</v>
      </c>
      <c r="I79" s="4" t="s">
        <v>22</v>
      </c>
      <c r="J79" s="4" t="str" cm="1">
        <f t="array" ref="J79">_xlfn.IFS(K79&lt;30,"Young Adult",K79&lt;50,"Adult",K79&gt;=50,"Senior")</f>
        <v>Adult</v>
      </c>
      <c r="K79" s="4">
        <v>47</v>
      </c>
      <c r="L79" s="4" t="s">
        <v>23</v>
      </c>
      <c r="M79" s="4">
        <v>3</v>
      </c>
      <c r="N79" s="16">
        <v>500</v>
      </c>
      <c r="O79" s="17">
        <f>M79*N79</f>
        <v>1500</v>
      </c>
      <c r="P79" s="13">
        <f>$O79*$U$4</f>
        <v>22.5</v>
      </c>
      <c r="Q79" s="13">
        <f>$O79*$U$5</f>
        <v>30</v>
      </c>
      <c r="R79" s="13" cm="1">
        <f t="array" ref="R79">_xlfn.IFS(B79=2023,O79*$U$4,B79=2024,O79*$U$5)</f>
        <v>22.5</v>
      </c>
    </row>
    <row r="80" spans="1:18">
      <c r="A80" s="2">
        <v>79</v>
      </c>
      <c r="B80" s="4">
        <f t="shared" si="6"/>
        <v>2023</v>
      </c>
      <c r="C80" s="4">
        <f t="shared" si="7"/>
        <v>4</v>
      </c>
      <c r="D80" s="4">
        <f t="shared" si="8"/>
        <v>18</v>
      </c>
      <c r="E80" s="4" t="str">
        <f t="shared" si="9"/>
        <v>Tuesday</v>
      </c>
      <c r="F80" s="4" t="str">
        <f t="shared" si="10"/>
        <v>April</v>
      </c>
      <c r="G80" s="3">
        <v>45034</v>
      </c>
      <c r="H80" s="4" t="s">
        <v>111</v>
      </c>
      <c r="I80" s="4" t="s">
        <v>19</v>
      </c>
      <c r="J80" s="4" t="str" cm="1">
        <f t="array" ref="J80">_xlfn.IFS(K80&lt;30,"Young Adult",K80&lt;50,"Adult",K80&gt;=50,"Senior")</f>
        <v>Adult</v>
      </c>
      <c r="K80" s="4">
        <v>34</v>
      </c>
      <c r="L80" s="4" t="s">
        <v>20</v>
      </c>
      <c r="M80" s="4">
        <v>1</v>
      </c>
      <c r="N80" s="16">
        <v>300</v>
      </c>
      <c r="O80" s="17">
        <f>M80*N80</f>
        <v>300</v>
      </c>
      <c r="P80" s="13">
        <f>$O80*$U$4</f>
        <v>4.5</v>
      </c>
      <c r="Q80" s="13">
        <f>$O80*$U$5</f>
        <v>6</v>
      </c>
      <c r="R80" s="13" cm="1">
        <f t="array" ref="R80">_xlfn.IFS(B80=2023,O80*$U$4,B80=2024,O80*$U$5)</f>
        <v>4.5</v>
      </c>
    </row>
    <row r="81" spans="1:18">
      <c r="A81" s="2">
        <v>80</v>
      </c>
      <c r="B81" s="4">
        <f t="shared" si="6"/>
        <v>2023</v>
      </c>
      <c r="C81" s="4">
        <f t="shared" si="7"/>
        <v>12</v>
      </c>
      <c r="D81" s="4">
        <f t="shared" si="8"/>
        <v>10</v>
      </c>
      <c r="E81" s="4" t="str">
        <f t="shared" si="9"/>
        <v>Sunday</v>
      </c>
      <c r="F81" s="4" t="str">
        <f t="shared" si="10"/>
        <v>December</v>
      </c>
      <c r="G81" s="3">
        <v>45270</v>
      </c>
      <c r="H81" s="4" t="s">
        <v>112</v>
      </c>
      <c r="I81" s="4" t="s">
        <v>22</v>
      </c>
      <c r="J81" s="4" t="str" cm="1">
        <f t="array" ref="J81">_xlfn.IFS(K81&lt;30,"Young Adult",K81&lt;50,"Adult",K81&gt;=50,"Senior")</f>
        <v>Senior</v>
      </c>
      <c r="K81" s="4">
        <v>64</v>
      </c>
      <c r="L81" s="4" t="s">
        <v>23</v>
      </c>
      <c r="M81" s="4">
        <v>2</v>
      </c>
      <c r="N81" s="16">
        <v>30</v>
      </c>
      <c r="O81" s="17">
        <f>M81*N81</f>
        <v>60</v>
      </c>
      <c r="P81" s="13">
        <f>$O81*$U$4</f>
        <v>0.89999999999999991</v>
      </c>
      <c r="Q81" s="13">
        <f>$O81*$U$5</f>
        <v>1.2</v>
      </c>
      <c r="R81" s="13" cm="1">
        <f t="array" ref="R81">_xlfn.IFS(B81=2023,O81*$U$4,B81=2024,O81*$U$5)</f>
        <v>0.89999999999999991</v>
      </c>
    </row>
    <row r="82" spans="1:18">
      <c r="A82" s="2">
        <v>81</v>
      </c>
      <c r="B82" s="4">
        <f t="shared" si="6"/>
        <v>2023</v>
      </c>
      <c r="C82" s="4">
        <f t="shared" si="7"/>
        <v>5</v>
      </c>
      <c r="D82" s="4">
        <f t="shared" si="8"/>
        <v>17</v>
      </c>
      <c r="E82" s="4" t="str">
        <f t="shared" si="9"/>
        <v>Wednesday</v>
      </c>
      <c r="F82" s="4" t="str">
        <f t="shared" si="10"/>
        <v>May</v>
      </c>
      <c r="G82" s="3">
        <v>45063</v>
      </c>
      <c r="H82" s="4" t="s">
        <v>113</v>
      </c>
      <c r="I82" s="4" t="s">
        <v>19</v>
      </c>
      <c r="J82" s="4" t="str" cm="1">
        <f t="array" ref="J82">_xlfn.IFS(K82&lt;30,"Young Adult",K82&lt;50,"Adult",K82&gt;=50,"Senior")</f>
        <v>Adult</v>
      </c>
      <c r="K82" s="4">
        <v>40</v>
      </c>
      <c r="L82" s="4" t="s">
        <v>26</v>
      </c>
      <c r="M82" s="4">
        <v>1</v>
      </c>
      <c r="N82" s="16">
        <v>50</v>
      </c>
      <c r="O82" s="17">
        <f>M82*N82</f>
        <v>50</v>
      </c>
      <c r="P82" s="13">
        <f>$O82*$U$4</f>
        <v>0.75</v>
      </c>
      <c r="Q82" s="13">
        <f>$O82*$U$5</f>
        <v>1</v>
      </c>
      <c r="R82" s="13" cm="1">
        <f t="array" ref="R82">_xlfn.IFS(B82=2023,O82*$U$4,B82=2024,O82*$U$5)</f>
        <v>0.75</v>
      </c>
    </row>
    <row r="83" spans="1:18">
      <c r="A83" s="2">
        <v>82</v>
      </c>
      <c r="B83" s="4">
        <f t="shared" si="6"/>
        <v>2023</v>
      </c>
      <c r="C83" s="4">
        <f t="shared" si="7"/>
        <v>12</v>
      </c>
      <c r="D83" s="4">
        <f t="shared" si="8"/>
        <v>26</v>
      </c>
      <c r="E83" s="4" t="str">
        <f t="shared" si="9"/>
        <v>Tuesday</v>
      </c>
      <c r="F83" s="4" t="str">
        <f t="shared" si="10"/>
        <v>December</v>
      </c>
      <c r="G83" s="3">
        <v>45286</v>
      </c>
      <c r="H83" s="4" t="s">
        <v>114</v>
      </c>
      <c r="I83" s="4" t="s">
        <v>22</v>
      </c>
      <c r="J83" s="4" t="str" cm="1">
        <f t="array" ref="J83">_xlfn.IFS(K83&lt;30,"Young Adult",K83&lt;50,"Adult",K83&gt;=50,"Senior")</f>
        <v>Adult</v>
      </c>
      <c r="K83" s="4">
        <v>32</v>
      </c>
      <c r="L83" s="4" t="s">
        <v>20</v>
      </c>
      <c r="M83" s="4">
        <v>4</v>
      </c>
      <c r="N83" s="16">
        <v>50</v>
      </c>
      <c r="O83" s="17">
        <f>M83*N83</f>
        <v>200</v>
      </c>
      <c r="P83" s="13">
        <f>$O83*$U$4</f>
        <v>3</v>
      </c>
      <c r="Q83" s="13">
        <f>$O83*$U$5</f>
        <v>4</v>
      </c>
      <c r="R83" s="13" cm="1">
        <f t="array" ref="R83">_xlfn.IFS(B83=2023,O83*$U$4,B83=2024,O83*$U$5)</f>
        <v>3</v>
      </c>
    </row>
    <row r="84" spans="1:18">
      <c r="A84" s="2">
        <v>83</v>
      </c>
      <c r="B84" s="4">
        <f t="shared" si="6"/>
        <v>2023</v>
      </c>
      <c r="C84" s="4">
        <f t="shared" si="7"/>
        <v>12</v>
      </c>
      <c r="D84" s="4">
        <f t="shared" si="8"/>
        <v>16</v>
      </c>
      <c r="E84" s="4" t="str">
        <f t="shared" si="9"/>
        <v>Saturday</v>
      </c>
      <c r="F84" s="4" t="str">
        <f t="shared" si="10"/>
        <v>December</v>
      </c>
      <c r="G84" s="3">
        <v>45276</v>
      </c>
      <c r="H84" s="4" t="s">
        <v>115</v>
      </c>
      <c r="I84" s="4" t="s">
        <v>19</v>
      </c>
      <c r="J84" s="4" t="str" cm="1">
        <f t="array" ref="J84">_xlfn.IFS(K84&lt;30,"Young Adult",K84&lt;50,"Adult",K84&gt;=50,"Senior")</f>
        <v>Senior</v>
      </c>
      <c r="K84" s="4">
        <v>54</v>
      </c>
      <c r="L84" s="4" t="s">
        <v>26</v>
      </c>
      <c r="M84" s="4">
        <v>2</v>
      </c>
      <c r="N84" s="16">
        <v>50</v>
      </c>
      <c r="O84" s="17">
        <f>M84*N84</f>
        <v>100</v>
      </c>
      <c r="P84" s="13">
        <f>$O84*$U$4</f>
        <v>1.5</v>
      </c>
      <c r="Q84" s="13">
        <f>$O84*$U$5</f>
        <v>2</v>
      </c>
      <c r="R84" s="13" cm="1">
        <f t="array" ref="R84">_xlfn.IFS(B84=2023,O84*$U$4,B84=2024,O84*$U$5)</f>
        <v>1.5</v>
      </c>
    </row>
    <row r="85" spans="1:18">
      <c r="A85" s="2">
        <v>84</v>
      </c>
      <c r="B85" s="4">
        <f t="shared" si="6"/>
        <v>2023</v>
      </c>
      <c r="C85" s="4">
        <f t="shared" si="7"/>
        <v>11</v>
      </c>
      <c r="D85" s="4">
        <f t="shared" si="8"/>
        <v>28</v>
      </c>
      <c r="E85" s="4" t="str">
        <f t="shared" si="9"/>
        <v>Tuesday</v>
      </c>
      <c r="F85" s="4" t="str">
        <f t="shared" si="10"/>
        <v>November</v>
      </c>
      <c r="G85" s="3">
        <v>45258</v>
      </c>
      <c r="H85" s="4" t="s">
        <v>116</v>
      </c>
      <c r="I85" s="4" t="s">
        <v>22</v>
      </c>
      <c r="J85" s="4" t="str" cm="1">
        <f t="array" ref="J85">_xlfn.IFS(K85&lt;30,"Young Adult",K85&lt;50,"Adult",K85&gt;=50,"Senior")</f>
        <v>Adult</v>
      </c>
      <c r="K85" s="4">
        <v>38</v>
      </c>
      <c r="L85" s="4" t="s">
        <v>26</v>
      </c>
      <c r="M85" s="4">
        <v>3</v>
      </c>
      <c r="N85" s="16">
        <v>30</v>
      </c>
      <c r="O85" s="17">
        <f>M85*N85</f>
        <v>90</v>
      </c>
      <c r="P85" s="13">
        <f>$O85*$U$4</f>
        <v>1.3499999999999999</v>
      </c>
      <c r="Q85" s="13">
        <f>$O85*$U$5</f>
        <v>1.8</v>
      </c>
      <c r="R85" s="13" cm="1">
        <f t="array" ref="R85">_xlfn.IFS(B85=2023,O85*$U$4,B85=2024,O85*$U$5)</f>
        <v>1.3499999999999999</v>
      </c>
    </row>
    <row r="86" spans="1:18">
      <c r="A86" s="2">
        <v>85</v>
      </c>
      <c r="B86" s="4">
        <f t="shared" si="6"/>
        <v>2023</v>
      </c>
      <c r="C86" s="4">
        <f t="shared" si="7"/>
        <v>2</v>
      </c>
      <c r="D86" s="4">
        <f t="shared" si="8"/>
        <v>6</v>
      </c>
      <c r="E86" s="4" t="str">
        <f t="shared" si="9"/>
        <v>Monday</v>
      </c>
      <c r="F86" s="4" t="str">
        <f t="shared" si="10"/>
        <v>February</v>
      </c>
      <c r="G86" s="3">
        <v>44963</v>
      </c>
      <c r="H86" s="4" t="s">
        <v>117</v>
      </c>
      <c r="I86" s="4" t="s">
        <v>19</v>
      </c>
      <c r="J86" s="4" t="str" cm="1">
        <f t="array" ref="J86">_xlfn.IFS(K86&lt;30,"Young Adult",K86&lt;50,"Adult",K86&gt;=50,"Senior")</f>
        <v>Adult</v>
      </c>
      <c r="K86" s="4">
        <v>31</v>
      </c>
      <c r="L86" s="4" t="s">
        <v>23</v>
      </c>
      <c r="M86" s="4">
        <v>3</v>
      </c>
      <c r="N86" s="16">
        <v>50</v>
      </c>
      <c r="O86" s="17">
        <f>M86*N86</f>
        <v>150</v>
      </c>
      <c r="P86" s="13">
        <f>$O86*$U$4</f>
        <v>2.25</v>
      </c>
      <c r="Q86" s="13">
        <f>$O86*$U$5</f>
        <v>3</v>
      </c>
      <c r="R86" s="13" cm="1">
        <f t="array" ref="R86">_xlfn.IFS(B86=2023,O86*$U$4,B86=2024,O86*$U$5)</f>
        <v>2.25</v>
      </c>
    </row>
    <row r="87" spans="1:18">
      <c r="A87" s="2">
        <v>86</v>
      </c>
      <c r="B87" s="4">
        <f t="shared" si="6"/>
        <v>2023</v>
      </c>
      <c r="C87" s="4">
        <f t="shared" si="7"/>
        <v>11</v>
      </c>
      <c r="D87" s="4">
        <f t="shared" si="8"/>
        <v>8</v>
      </c>
      <c r="E87" s="4" t="str">
        <f t="shared" si="9"/>
        <v>Wednesday</v>
      </c>
      <c r="F87" s="4" t="str">
        <f t="shared" si="10"/>
        <v>November</v>
      </c>
      <c r="G87" s="3">
        <v>45238</v>
      </c>
      <c r="H87" s="4" t="s">
        <v>118</v>
      </c>
      <c r="I87" s="4" t="s">
        <v>19</v>
      </c>
      <c r="J87" s="4" t="str" cm="1">
        <f t="array" ref="J87">_xlfn.IFS(K87&lt;30,"Young Adult",K87&lt;50,"Adult",K87&gt;=50,"Senior")</f>
        <v>Young Adult</v>
      </c>
      <c r="K87" s="4">
        <v>19</v>
      </c>
      <c r="L87" s="4" t="s">
        <v>20</v>
      </c>
      <c r="M87" s="4">
        <v>3</v>
      </c>
      <c r="N87" s="16">
        <v>30</v>
      </c>
      <c r="O87" s="17">
        <f>M87*N87</f>
        <v>90</v>
      </c>
      <c r="P87" s="13">
        <f>$O87*$U$4</f>
        <v>1.3499999999999999</v>
      </c>
      <c r="Q87" s="13">
        <f>$O87*$U$5</f>
        <v>1.8</v>
      </c>
      <c r="R87" s="13" cm="1">
        <f t="array" ref="R87">_xlfn.IFS(B87=2023,O87*$U$4,B87=2024,O87*$U$5)</f>
        <v>1.3499999999999999</v>
      </c>
    </row>
    <row r="88" spans="1:18">
      <c r="A88" s="2">
        <v>87</v>
      </c>
      <c r="B88" s="4">
        <f t="shared" si="6"/>
        <v>2023</v>
      </c>
      <c r="C88" s="4">
        <f t="shared" si="7"/>
        <v>11</v>
      </c>
      <c r="D88" s="4">
        <f t="shared" si="8"/>
        <v>22</v>
      </c>
      <c r="E88" s="4" t="str">
        <f t="shared" si="9"/>
        <v>Wednesday</v>
      </c>
      <c r="F88" s="4" t="str">
        <f t="shared" si="10"/>
        <v>November</v>
      </c>
      <c r="G88" s="3">
        <v>45252</v>
      </c>
      <c r="H88" s="4" t="s">
        <v>119</v>
      </c>
      <c r="I88" s="4" t="s">
        <v>22</v>
      </c>
      <c r="J88" s="4" t="str" cm="1">
        <f t="array" ref="J88">_xlfn.IFS(K88&lt;30,"Young Adult",K88&lt;50,"Adult",K88&gt;=50,"Senior")</f>
        <v>Young Adult</v>
      </c>
      <c r="K88" s="4">
        <v>28</v>
      </c>
      <c r="L88" s="4" t="s">
        <v>20</v>
      </c>
      <c r="M88" s="4">
        <v>2</v>
      </c>
      <c r="N88" s="16">
        <v>50</v>
      </c>
      <c r="O88" s="17">
        <f>M88*N88</f>
        <v>100</v>
      </c>
      <c r="P88" s="13">
        <f>$O88*$U$4</f>
        <v>1.5</v>
      </c>
      <c r="Q88" s="13">
        <f>$O88*$U$5</f>
        <v>2</v>
      </c>
      <c r="R88" s="13" cm="1">
        <f t="array" ref="R88">_xlfn.IFS(B88=2023,O88*$U$4,B88=2024,O88*$U$5)</f>
        <v>1.5</v>
      </c>
    </row>
    <row r="89" spans="1:18">
      <c r="A89" s="2">
        <v>88</v>
      </c>
      <c r="B89" s="4">
        <f t="shared" si="6"/>
        <v>2023</v>
      </c>
      <c r="C89" s="4">
        <f t="shared" si="7"/>
        <v>3</v>
      </c>
      <c r="D89" s="4">
        <f t="shared" si="8"/>
        <v>29</v>
      </c>
      <c r="E89" s="4" t="str">
        <f t="shared" si="9"/>
        <v>Wednesday</v>
      </c>
      <c r="F89" s="4" t="str">
        <f t="shared" si="10"/>
        <v>March</v>
      </c>
      <c r="G89" s="3">
        <v>45014</v>
      </c>
      <c r="H89" s="4" t="s">
        <v>120</v>
      </c>
      <c r="I89" s="4" t="s">
        <v>19</v>
      </c>
      <c r="J89" s="4" t="str" cm="1">
        <f t="array" ref="J89">_xlfn.IFS(K89&lt;30,"Young Adult",K89&lt;50,"Adult",K89&gt;=50,"Senior")</f>
        <v>Senior</v>
      </c>
      <c r="K89" s="4">
        <v>56</v>
      </c>
      <c r="L89" s="4" t="s">
        <v>23</v>
      </c>
      <c r="M89" s="4">
        <v>1</v>
      </c>
      <c r="N89" s="16">
        <v>500</v>
      </c>
      <c r="O89" s="17">
        <f>M89*N89</f>
        <v>500</v>
      </c>
      <c r="P89" s="13">
        <f>$O89*$U$4</f>
        <v>7.5</v>
      </c>
      <c r="Q89" s="13">
        <f>$O89*$U$5</f>
        <v>10</v>
      </c>
      <c r="R89" s="13" cm="1">
        <f t="array" ref="R89">_xlfn.IFS(B89=2023,O89*$U$4,B89=2024,O89*$U$5)</f>
        <v>7.5</v>
      </c>
    </row>
    <row r="90" spans="1:18">
      <c r="A90" s="2">
        <v>89</v>
      </c>
      <c r="B90" s="4">
        <f t="shared" si="6"/>
        <v>2023</v>
      </c>
      <c r="C90" s="4">
        <f t="shared" si="7"/>
        <v>10</v>
      </c>
      <c r="D90" s="4">
        <f t="shared" si="8"/>
        <v>1</v>
      </c>
      <c r="E90" s="4" t="str">
        <f t="shared" si="9"/>
        <v>Sunday</v>
      </c>
      <c r="F90" s="4" t="str">
        <f t="shared" si="10"/>
        <v>October</v>
      </c>
      <c r="G90" s="3">
        <v>45200</v>
      </c>
      <c r="H90" s="4" t="s">
        <v>121</v>
      </c>
      <c r="I90" s="4" t="s">
        <v>22</v>
      </c>
      <c r="J90" s="4" t="str" cm="1">
        <f t="array" ref="J90">_xlfn.IFS(K90&lt;30,"Young Adult",K90&lt;50,"Adult",K90&gt;=50,"Senior")</f>
        <v>Senior</v>
      </c>
      <c r="K90" s="4">
        <v>55</v>
      </c>
      <c r="L90" s="4" t="s">
        <v>26</v>
      </c>
      <c r="M90" s="4">
        <v>4</v>
      </c>
      <c r="N90" s="16">
        <v>500</v>
      </c>
      <c r="O90" s="17">
        <f>M90*N90</f>
        <v>2000</v>
      </c>
      <c r="P90" s="13">
        <f>$O90*$U$4</f>
        <v>30</v>
      </c>
      <c r="Q90" s="13">
        <f>$O90*$U$5</f>
        <v>40</v>
      </c>
      <c r="R90" s="13" cm="1">
        <f t="array" ref="R90">_xlfn.IFS(B90=2023,O90*$U$4,B90=2024,O90*$U$5)</f>
        <v>30</v>
      </c>
    </row>
    <row r="91" spans="1:18">
      <c r="A91" s="2">
        <v>90</v>
      </c>
      <c r="B91" s="4">
        <f t="shared" si="6"/>
        <v>2023</v>
      </c>
      <c r="C91" s="4">
        <f t="shared" si="7"/>
        <v>5</v>
      </c>
      <c r="D91" s="4">
        <f t="shared" si="8"/>
        <v>6</v>
      </c>
      <c r="E91" s="4" t="str">
        <f t="shared" si="9"/>
        <v>Saturday</v>
      </c>
      <c r="F91" s="4" t="str">
        <f t="shared" si="10"/>
        <v>May</v>
      </c>
      <c r="G91" s="3">
        <v>45052</v>
      </c>
      <c r="H91" s="4" t="s">
        <v>122</v>
      </c>
      <c r="I91" s="4" t="s">
        <v>22</v>
      </c>
      <c r="J91" s="4" t="str" cm="1">
        <f t="array" ref="J91">_xlfn.IFS(K91&lt;30,"Young Adult",K91&lt;50,"Adult",K91&gt;=50,"Senior")</f>
        <v>Senior</v>
      </c>
      <c r="K91" s="4">
        <v>51</v>
      </c>
      <c r="L91" s="4" t="s">
        <v>26</v>
      </c>
      <c r="M91" s="4">
        <v>1</v>
      </c>
      <c r="N91" s="16">
        <v>30</v>
      </c>
      <c r="O91" s="17">
        <f>M91*N91</f>
        <v>30</v>
      </c>
      <c r="P91" s="13">
        <f>$O91*$U$4</f>
        <v>0.44999999999999996</v>
      </c>
      <c r="Q91" s="13">
        <f>$O91*$U$5</f>
        <v>0.6</v>
      </c>
      <c r="R91" s="13" cm="1">
        <f t="array" ref="R91">_xlfn.IFS(B91=2023,O91*$U$4,B91=2024,O91*$U$5)</f>
        <v>0.44999999999999996</v>
      </c>
    </row>
    <row r="92" spans="1:18">
      <c r="A92" s="2">
        <v>91</v>
      </c>
      <c r="B92" s="4">
        <f t="shared" si="6"/>
        <v>2023</v>
      </c>
      <c r="C92" s="4">
        <f t="shared" si="7"/>
        <v>3</v>
      </c>
      <c r="D92" s="4">
        <f t="shared" si="8"/>
        <v>25</v>
      </c>
      <c r="E92" s="4" t="str">
        <f t="shared" si="9"/>
        <v>Saturday</v>
      </c>
      <c r="F92" s="4" t="str">
        <f t="shared" si="10"/>
        <v>March</v>
      </c>
      <c r="G92" s="3">
        <v>45010</v>
      </c>
      <c r="H92" s="4" t="s">
        <v>123</v>
      </c>
      <c r="I92" s="4" t="s">
        <v>22</v>
      </c>
      <c r="J92" s="4" t="str" cm="1">
        <f t="array" ref="J92">_xlfn.IFS(K92&lt;30,"Young Adult",K92&lt;50,"Adult",K92&gt;=50,"Senior")</f>
        <v>Senior</v>
      </c>
      <c r="K92" s="4">
        <v>55</v>
      </c>
      <c r="L92" s="4" t="s">
        <v>26</v>
      </c>
      <c r="M92" s="4">
        <v>1</v>
      </c>
      <c r="N92" s="16">
        <v>500</v>
      </c>
      <c r="O92" s="17">
        <f>M92*N92</f>
        <v>500</v>
      </c>
      <c r="P92" s="13">
        <f>$O92*$U$4</f>
        <v>7.5</v>
      </c>
      <c r="Q92" s="13">
        <f>$O92*$U$5</f>
        <v>10</v>
      </c>
      <c r="R92" s="13" cm="1">
        <f t="array" ref="R92">_xlfn.IFS(B92=2023,O92*$U$4,B92=2024,O92*$U$5)</f>
        <v>7.5</v>
      </c>
    </row>
    <row r="93" spans="1:18">
      <c r="A93" s="2">
        <v>92</v>
      </c>
      <c r="B93" s="4">
        <f t="shared" si="6"/>
        <v>2023</v>
      </c>
      <c r="C93" s="4">
        <f t="shared" si="7"/>
        <v>8</v>
      </c>
      <c r="D93" s="4">
        <f t="shared" si="8"/>
        <v>25</v>
      </c>
      <c r="E93" s="4" t="str">
        <f t="shared" si="9"/>
        <v>Friday</v>
      </c>
      <c r="F93" s="4" t="str">
        <f t="shared" si="10"/>
        <v>August</v>
      </c>
      <c r="G93" s="3">
        <v>45163</v>
      </c>
      <c r="H93" s="4" t="s">
        <v>124</v>
      </c>
      <c r="I93" s="4" t="s">
        <v>22</v>
      </c>
      <c r="J93" s="4" t="str" cm="1">
        <f t="array" ref="J93">_xlfn.IFS(K93&lt;30,"Young Adult",K93&lt;50,"Adult",K93&gt;=50,"Senior")</f>
        <v>Senior</v>
      </c>
      <c r="K93" s="4">
        <v>51</v>
      </c>
      <c r="L93" s="4" t="s">
        <v>26</v>
      </c>
      <c r="M93" s="4">
        <v>4</v>
      </c>
      <c r="N93" s="16">
        <v>30</v>
      </c>
      <c r="O93" s="17">
        <f>M93*N93</f>
        <v>120</v>
      </c>
      <c r="P93" s="13">
        <f>$O93*$U$4</f>
        <v>1.7999999999999998</v>
      </c>
      <c r="Q93" s="13">
        <f>$O93*$U$5</f>
        <v>2.4</v>
      </c>
      <c r="R93" s="13" cm="1">
        <f t="array" ref="R93">_xlfn.IFS(B93=2023,O93*$U$4,B93=2024,O93*$U$5)</f>
        <v>1.7999999999999998</v>
      </c>
    </row>
    <row r="94" spans="1:18">
      <c r="A94" s="2">
        <v>93</v>
      </c>
      <c r="B94" s="4">
        <f t="shared" si="6"/>
        <v>2023</v>
      </c>
      <c r="C94" s="4">
        <f t="shared" si="7"/>
        <v>7</v>
      </c>
      <c r="D94" s="4">
        <f t="shared" si="8"/>
        <v>14</v>
      </c>
      <c r="E94" s="4" t="str">
        <f t="shared" si="9"/>
        <v>Friday</v>
      </c>
      <c r="F94" s="4" t="str">
        <f t="shared" si="10"/>
        <v>July</v>
      </c>
      <c r="G94" s="3">
        <v>45121</v>
      </c>
      <c r="H94" s="4" t="s">
        <v>125</v>
      </c>
      <c r="I94" s="4" t="s">
        <v>22</v>
      </c>
      <c r="J94" s="4" t="str" cm="1">
        <f t="array" ref="J94">_xlfn.IFS(K94&lt;30,"Young Adult",K94&lt;50,"Adult",K94&gt;=50,"Senior")</f>
        <v>Adult</v>
      </c>
      <c r="K94" s="4">
        <v>35</v>
      </c>
      <c r="L94" s="4" t="s">
        <v>20</v>
      </c>
      <c r="M94" s="4">
        <v>4</v>
      </c>
      <c r="N94" s="16">
        <v>500</v>
      </c>
      <c r="O94" s="17">
        <f>M94*N94</f>
        <v>2000</v>
      </c>
      <c r="P94" s="13">
        <f>$O94*$U$4</f>
        <v>30</v>
      </c>
      <c r="Q94" s="13">
        <f>$O94*$U$5</f>
        <v>40</v>
      </c>
      <c r="R94" s="13" cm="1">
        <f t="array" ref="R94">_xlfn.IFS(B94=2023,O94*$U$4,B94=2024,O94*$U$5)</f>
        <v>30</v>
      </c>
    </row>
    <row r="95" spans="1:18">
      <c r="A95" s="2">
        <v>94</v>
      </c>
      <c r="B95" s="4">
        <f t="shared" si="6"/>
        <v>2023</v>
      </c>
      <c r="C95" s="4">
        <f t="shared" si="7"/>
        <v>5</v>
      </c>
      <c r="D95" s="4">
        <f t="shared" si="8"/>
        <v>19</v>
      </c>
      <c r="E95" s="4" t="str">
        <f t="shared" si="9"/>
        <v>Friday</v>
      </c>
      <c r="F95" s="4" t="str">
        <f t="shared" si="10"/>
        <v>May</v>
      </c>
      <c r="G95" s="3">
        <v>45065</v>
      </c>
      <c r="H95" s="4" t="s">
        <v>126</v>
      </c>
      <c r="I95" s="4" t="s">
        <v>22</v>
      </c>
      <c r="J95" s="4" t="str" cm="1">
        <f t="array" ref="J95">_xlfn.IFS(K95&lt;30,"Young Adult",K95&lt;50,"Adult",K95&gt;=50,"Senior")</f>
        <v>Adult</v>
      </c>
      <c r="K95" s="4">
        <v>47</v>
      </c>
      <c r="L95" s="4" t="s">
        <v>20</v>
      </c>
      <c r="M95" s="4">
        <v>2</v>
      </c>
      <c r="N95" s="16">
        <v>500</v>
      </c>
      <c r="O95" s="17">
        <f>M95*N95</f>
        <v>1000</v>
      </c>
      <c r="P95" s="13">
        <f>$O95*$U$4</f>
        <v>15</v>
      </c>
      <c r="Q95" s="13">
        <f>$O95*$U$5</f>
        <v>20</v>
      </c>
      <c r="R95" s="13" cm="1">
        <f t="array" ref="R95">_xlfn.IFS(B95=2023,O95*$U$4,B95=2024,O95*$U$5)</f>
        <v>15</v>
      </c>
    </row>
    <row r="96" spans="1:18">
      <c r="A96" s="2">
        <v>95</v>
      </c>
      <c r="B96" s="4">
        <f t="shared" si="6"/>
        <v>2023</v>
      </c>
      <c r="C96" s="4">
        <f t="shared" si="7"/>
        <v>11</v>
      </c>
      <c r="D96" s="4">
        <f t="shared" si="8"/>
        <v>24</v>
      </c>
      <c r="E96" s="4" t="str">
        <f t="shared" si="9"/>
        <v>Friday</v>
      </c>
      <c r="F96" s="4" t="str">
        <f t="shared" si="10"/>
        <v>November</v>
      </c>
      <c r="G96" s="3">
        <v>45254</v>
      </c>
      <c r="H96" s="4" t="s">
        <v>127</v>
      </c>
      <c r="I96" s="4" t="s">
        <v>22</v>
      </c>
      <c r="J96" s="4" t="str" cm="1">
        <f t="array" ref="J96">_xlfn.IFS(K96&lt;30,"Young Adult",K96&lt;50,"Adult",K96&gt;=50,"Senior")</f>
        <v>Adult</v>
      </c>
      <c r="K96" s="4">
        <v>32</v>
      </c>
      <c r="L96" s="4" t="s">
        <v>23</v>
      </c>
      <c r="M96" s="4">
        <v>2</v>
      </c>
      <c r="N96" s="16">
        <v>30</v>
      </c>
      <c r="O96" s="17">
        <f>M96*N96</f>
        <v>60</v>
      </c>
      <c r="P96" s="13">
        <f>$O96*$U$4</f>
        <v>0.89999999999999991</v>
      </c>
      <c r="Q96" s="13">
        <f>$O96*$U$5</f>
        <v>1.2</v>
      </c>
      <c r="R96" s="13" cm="1">
        <f t="array" ref="R96">_xlfn.IFS(B96=2023,O96*$U$4,B96=2024,O96*$U$5)</f>
        <v>0.89999999999999991</v>
      </c>
    </row>
    <row r="97" spans="1:18">
      <c r="A97" s="2">
        <v>96</v>
      </c>
      <c r="B97" s="4">
        <f t="shared" si="6"/>
        <v>2023</v>
      </c>
      <c r="C97" s="4">
        <f t="shared" si="7"/>
        <v>12</v>
      </c>
      <c r="D97" s="4">
        <f t="shared" si="8"/>
        <v>19</v>
      </c>
      <c r="E97" s="4" t="str">
        <f t="shared" si="9"/>
        <v>Tuesday</v>
      </c>
      <c r="F97" s="4" t="str">
        <f t="shared" si="10"/>
        <v>December</v>
      </c>
      <c r="G97" s="3">
        <v>45279</v>
      </c>
      <c r="H97" s="4" t="s">
        <v>128</v>
      </c>
      <c r="I97" s="4" t="s">
        <v>22</v>
      </c>
      <c r="J97" s="4" t="str" cm="1">
        <f t="array" ref="J97">_xlfn.IFS(K97&lt;30,"Young Adult",K97&lt;50,"Adult",K97&gt;=50,"Senior")</f>
        <v>Adult</v>
      </c>
      <c r="K97" s="4">
        <v>44</v>
      </c>
      <c r="L97" s="4" t="s">
        <v>23</v>
      </c>
      <c r="M97" s="4">
        <v>2</v>
      </c>
      <c r="N97" s="16">
        <v>300</v>
      </c>
      <c r="O97" s="17">
        <f>M97*N97</f>
        <v>600</v>
      </c>
      <c r="P97" s="13">
        <f>$O97*$U$4</f>
        <v>9</v>
      </c>
      <c r="Q97" s="13">
        <f>$O97*$U$5</f>
        <v>12</v>
      </c>
      <c r="R97" s="13" cm="1">
        <f t="array" ref="R97">_xlfn.IFS(B97=2023,O97*$U$4,B97=2024,O97*$U$5)</f>
        <v>9</v>
      </c>
    </row>
    <row r="98" spans="1:18">
      <c r="A98" s="2">
        <v>97</v>
      </c>
      <c r="B98" s="4">
        <f t="shared" si="6"/>
        <v>2023</v>
      </c>
      <c r="C98" s="4">
        <f t="shared" si="7"/>
        <v>10</v>
      </c>
      <c r="D98" s="4">
        <f t="shared" si="8"/>
        <v>13</v>
      </c>
      <c r="E98" s="4" t="str">
        <f t="shared" si="9"/>
        <v>Friday</v>
      </c>
      <c r="F98" s="4" t="str">
        <f t="shared" si="10"/>
        <v>October</v>
      </c>
      <c r="G98" s="3">
        <v>45212</v>
      </c>
      <c r="H98" s="4" t="s">
        <v>129</v>
      </c>
      <c r="I98" s="4" t="s">
        <v>22</v>
      </c>
      <c r="J98" s="4" t="str" cm="1">
        <f t="array" ref="J98">_xlfn.IFS(K98&lt;30,"Young Adult",K98&lt;50,"Adult",K98&gt;=50,"Senior")</f>
        <v>Senior</v>
      </c>
      <c r="K98" s="4">
        <v>51</v>
      </c>
      <c r="L98" s="4" t="s">
        <v>20</v>
      </c>
      <c r="M98" s="4">
        <v>2</v>
      </c>
      <c r="N98" s="16">
        <v>500</v>
      </c>
      <c r="O98" s="17">
        <f>M98*N98</f>
        <v>1000</v>
      </c>
      <c r="P98" s="13">
        <f>$O98*$U$4</f>
        <v>15</v>
      </c>
      <c r="Q98" s="13">
        <f>$O98*$U$5</f>
        <v>20</v>
      </c>
      <c r="R98" s="13" cm="1">
        <f t="array" ref="R98">_xlfn.IFS(B98=2023,O98*$U$4,B98=2024,O98*$U$5)</f>
        <v>15</v>
      </c>
    </row>
    <row r="99" spans="1:18">
      <c r="A99" s="2">
        <v>98</v>
      </c>
      <c r="B99" s="4">
        <f t="shared" si="6"/>
        <v>2023</v>
      </c>
      <c r="C99" s="4">
        <f t="shared" si="7"/>
        <v>4</v>
      </c>
      <c r="D99" s="4">
        <f t="shared" si="8"/>
        <v>23</v>
      </c>
      <c r="E99" s="4" t="str">
        <f t="shared" si="9"/>
        <v>Sunday</v>
      </c>
      <c r="F99" s="4" t="str">
        <f t="shared" si="10"/>
        <v>April</v>
      </c>
      <c r="G99" s="3">
        <v>45039</v>
      </c>
      <c r="H99" s="4" t="s">
        <v>130</v>
      </c>
      <c r="I99" s="4" t="s">
        <v>22</v>
      </c>
      <c r="J99" s="4" t="str" cm="1">
        <f t="array" ref="J99">_xlfn.IFS(K99&lt;30,"Young Adult",K99&lt;50,"Adult",K99&gt;=50,"Senior")</f>
        <v>Senior</v>
      </c>
      <c r="K99" s="4">
        <v>55</v>
      </c>
      <c r="L99" s="4" t="s">
        <v>20</v>
      </c>
      <c r="M99" s="4">
        <v>2</v>
      </c>
      <c r="N99" s="16">
        <v>50</v>
      </c>
      <c r="O99" s="17">
        <f>M99*N99</f>
        <v>100</v>
      </c>
      <c r="P99" s="13">
        <f>$O99*$U$4</f>
        <v>1.5</v>
      </c>
      <c r="Q99" s="13">
        <f>$O99*$U$5</f>
        <v>2</v>
      </c>
      <c r="R99" s="13" cm="1">
        <f t="array" ref="R99">_xlfn.IFS(B99=2023,O99*$U$4,B99=2024,O99*$U$5)</f>
        <v>1.5</v>
      </c>
    </row>
    <row r="100" spans="1:18">
      <c r="A100" s="2">
        <v>99</v>
      </c>
      <c r="B100" s="4">
        <f t="shared" si="6"/>
        <v>2023</v>
      </c>
      <c r="C100" s="4">
        <f t="shared" si="7"/>
        <v>12</v>
      </c>
      <c r="D100" s="4">
        <f t="shared" si="8"/>
        <v>17</v>
      </c>
      <c r="E100" s="4" t="str">
        <f t="shared" si="9"/>
        <v>Sunday</v>
      </c>
      <c r="F100" s="4" t="str">
        <f t="shared" si="10"/>
        <v>December</v>
      </c>
      <c r="G100" s="3">
        <v>45277</v>
      </c>
      <c r="H100" s="4" t="s">
        <v>131</v>
      </c>
      <c r="I100" s="4" t="s">
        <v>22</v>
      </c>
      <c r="J100" s="4" t="str" cm="1">
        <f t="array" ref="J100">_xlfn.IFS(K100&lt;30,"Young Adult",K100&lt;50,"Adult",K100&gt;=50,"Senior")</f>
        <v>Senior</v>
      </c>
      <c r="K100" s="4">
        <v>50</v>
      </c>
      <c r="L100" s="4" t="s">
        <v>26</v>
      </c>
      <c r="M100" s="4">
        <v>4</v>
      </c>
      <c r="N100" s="16">
        <v>300</v>
      </c>
      <c r="O100" s="17">
        <f>M100*N100</f>
        <v>1200</v>
      </c>
      <c r="P100" s="13">
        <f>$O100*$U$4</f>
        <v>18</v>
      </c>
      <c r="Q100" s="13">
        <f>$O100*$U$5</f>
        <v>24</v>
      </c>
      <c r="R100" s="13" cm="1">
        <f t="array" ref="R100">_xlfn.IFS(B100=2023,O100*$U$4,B100=2024,O100*$U$5)</f>
        <v>18</v>
      </c>
    </row>
    <row r="101" spans="1:18">
      <c r="A101" s="2">
        <v>100</v>
      </c>
      <c r="B101" s="4">
        <f t="shared" si="6"/>
        <v>2023</v>
      </c>
      <c r="C101" s="4">
        <f t="shared" si="7"/>
        <v>6</v>
      </c>
      <c r="D101" s="4">
        <f t="shared" si="8"/>
        <v>16</v>
      </c>
      <c r="E101" s="4" t="str">
        <f t="shared" si="9"/>
        <v>Friday</v>
      </c>
      <c r="F101" s="4" t="str">
        <f t="shared" si="10"/>
        <v>June</v>
      </c>
      <c r="G101" s="3">
        <v>45093</v>
      </c>
      <c r="H101" s="4" t="s">
        <v>132</v>
      </c>
      <c r="I101" s="4" t="s">
        <v>19</v>
      </c>
      <c r="J101" s="4" t="str" cm="1">
        <f t="array" ref="J101">_xlfn.IFS(K101&lt;30,"Young Adult",K101&lt;50,"Adult",K101&gt;=50,"Senior")</f>
        <v>Adult</v>
      </c>
      <c r="K101" s="4">
        <v>41</v>
      </c>
      <c r="L101" s="4" t="s">
        <v>26</v>
      </c>
      <c r="M101" s="4">
        <v>1</v>
      </c>
      <c r="N101" s="16">
        <v>30</v>
      </c>
      <c r="O101" s="17">
        <f>M101*N101</f>
        <v>30</v>
      </c>
      <c r="P101" s="13">
        <f>$O101*$U$4</f>
        <v>0.44999999999999996</v>
      </c>
      <c r="Q101" s="13">
        <f>$O101*$U$5</f>
        <v>0.6</v>
      </c>
      <c r="R101" s="13" cm="1">
        <f t="array" ref="R101">_xlfn.IFS(B101=2023,O101*$U$4,B101=2024,O101*$U$5)</f>
        <v>0.44999999999999996</v>
      </c>
    </row>
    <row r="102" spans="1:18">
      <c r="A102" s="2">
        <v>101</v>
      </c>
      <c r="B102" s="4">
        <f t="shared" si="6"/>
        <v>2023</v>
      </c>
      <c r="C102" s="4">
        <f t="shared" si="7"/>
        <v>1</v>
      </c>
      <c r="D102" s="4">
        <f t="shared" si="8"/>
        <v>29</v>
      </c>
      <c r="E102" s="4" t="str">
        <f t="shared" si="9"/>
        <v>Sunday</v>
      </c>
      <c r="F102" s="4" t="str">
        <f t="shared" si="10"/>
        <v>January</v>
      </c>
      <c r="G102" s="3">
        <v>44955</v>
      </c>
      <c r="H102" s="4" t="s">
        <v>133</v>
      </c>
      <c r="I102" s="4" t="s">
        <v>19</v>
      </c>
      <c r="J102" s="4" t="str" cm="1">
        <f t="array" ref="J102">_xlfn.IFS(K102&lt;30,"Young Adult",K102&lt;50,"Adult",K102&gt;=50,"Senior")</f>
        <v>Adult</v>
      </c>
      <c r="K102" s="4">
        <v>32</v>
      </c>
      <c r="L102" s="4" t="s">
        <v>23</v>
      </c>
      <c r="M102" s="4">
        <v>2</v>
      </c>
      <c r="N102" s="16">
        <v>300</v>
      </c>
      <c r="O102" s="17">
        <f>M102*N102</f>
        <v>600</v>
      </c>
      <c r="P102" s="13">
        <f>$O102*$U$4</f>
        <v>9</v>
      </c>
      <c r="Q102" s="13">
        <f>$O102*$U$5</f>
        <v>12</v>
      </c>
      <c r="R102" s="13" cm="1">
        <f t="array" ref="R102">_xlfn.IFS(B102=2023,O102*$U$4,B102=2024,O102*$U$5)</f>
        <v>9</v>
      </c>
    </row>
    <row r="103" spans="1:18">
      <c r="A103" s="2">
        <v>102</v>
      </c>
      <c r="B103" s="4">
        <f t="shared" si="6"/>
        <v>2023</v>
      </c>
      <c r="C103" s="4">
        <f t="shared" si="7"/>
        <v>4</v>
      </c>
      <c r="D103" s="4">
        <f t="shared" si="8"/>
        <v>28</v>
      </c>
      <c r="E103" s="4" t="str">
        <f t="shared" si="9"/>
        <v>Friday</v>
      </c>
      <c r="F103" s="4" t="str">
        <f t="shared" si="10"/>
        <v>April</v>
      </c>
      <c r="G103" s="3">
        <v>45044</v>
      </c>
      <c r="H103" s="4" t="s">
        <v>134</v>
      </c>
      <c r="I103" s="4" t="s">
        <v>22</v>
      </c>
      <c r="J103" s="4" t="str" cm="1">
        <f t="array" ref="J103">_xlfn.IFS(K103&lt;30,"Young Adult",K103&lt;50,"Adult",K103&gt;=50,"Senior")</f>
        <v>Adult</v>
      </c>
      <c r="K103" s="4">
        <v>47</v>
      </c>
      <c r="L103" s="4" t="s">
        <v>20</v>
      </c>
      <c r="M103" s="4">
        <v>2</v>
      </c>
      <c r="N103" s="16">
        <v>25</v>
      </c>
      <c r="O103" s="17">
        <f>M103*N103</f>
        <v>50</v>
      </c>
      <c r="P103" s="13">
        <f>$O103*$U$4</f>
        <v>0.75</v>
      </c>
      <c r="Q103" s="13">
        <f>$O103*$U$5</f>
        <v>1</v>
      </c>
      <c r="R103" s="13" cm="1">
        <f t="array" ref="R103">_xlfn.IFS(B103=2023,O103*$U$4,B103=2024,O103*$U$5)</f>
        <v>0.75</v>
      </c>
    </row>
    <row r="104" spans="1:18">
      <c r="A104" s="2">
        <v>103</v>
      </c>
      <c r="B104" s="4">
        <f t="shared" si="6"/>
        <v>2023</v>
      </c>
      <c r="C104" s="4">
        <f t="shared" si="7"/>
        <v>1</v>
      </c>
      <c r="D104" s="4">
        <f t="shared" si="8"/>
        <v>17</v>
      </c>
      <c r="E104" s="4" t="str">
        <f t="shared" si="9"/>
        <v>Tuesday</v>
      </c>
      <c r="F104" s="4" t="str">
        <f t="shared" si="10"/>
        <v>January</v>
      </c>
      <c r="G104" s="3">
        <v>44943</v>
      </c>
      <c r="H104" s="4" t="s">
        <v>135</v>
      </c>
      <c r="I104" s="4" t="s">
        <v>22</v>
      </c>
      <c r="J104" s="4" t="str" cm="1">
        <f t="array" ref="J104">_xlfn.IFS(K104&lt;30,"Young Adult",K104&lt;50,"Adult",K104&gt;=50,"Senior")</f>
        <v>Senior</v>
      </c>
      <c r="K104" s="4">
        <v>59</v>
      </c>
      <c r="L104" s="4" t="s">
        <v>23</v>
      </c>
      <c r="M104" s="4">
        <v>1</v>
      </c>
      <c r="N104" s="16">
        <v>25</v>
      </c>
      <c r="O104" s="17">
        <f>M104*N104</f>
        <v>25</v>
      </c>
      <c r="P104" s="13">
        <f>$O104*$U$4</f>
        <v>0.375</v>
      </c>
      <c r="Q104" s="13">
        <f>$O104*$U$5</f>
        <v>0.5</v>
      </c>
      <c r="R104" s="13" cm="1">
        <f t="array" ref="R104">_xlfn.IFS(B104=2023,O104*$U$4,B104=2024,O104*$U$5)</f>
        <v>0.375</v>
      </c>
    </row>
    <row r="105" spans="1:18">
      <c r="A105" s="2">
        <v>104</v>
      </c>
      <c r="B105" s="4">
        <f t="shared" si="6"/>
        <v>2023</v>
      </c>
      <c r="C105" s="4">
        <f t="shared" si="7"/>
        <v>6</v>
      </c>
      <c r="D105" s="4">
        <f t="shared" si="8"/>
        <v>11</v>
      </c>
      <c r="E105" s="4" t="str">
        <f t="shared" si="9"/>
        <v>Sunday</v>
      </c>
      <c r="F105" s="4" t="str">
        <f t="shared" si="10"/>
        <v>June</v>
      </c>
      <c r="G105" s="3">
        <v>45088</v>
      </c>
      <c r="H105" s="4" t="s">
        <v>136</v>
      </c>
      <c r="I105" s="4" t="s">
        <v>22</v>
      </c>
      <c r="J105" s="4" t="str" cm="1">
        <f t="array" ref="J105">_xlfn.IFS(K105&lt;30,"Young Adult",K105&lt;50,"Adult",K105&gt;=50,"Senior")</f>
        <v>Adult</v>
      </c>
      <c r="K105" s="4">
        <v>34</v>
      </c>
      <c r="L105" s="4" t="s">
        <v>20</v>
      </c>
      <c r="M105" s="4">
        <v>2</v>
      </c>
      <c r="N105" s="16">
        <v>500</v>
      </c>
      <c r="O105" s="17">
        <f>M105*N105</f>
        <v>1000</v>
      </c>
      <c r="P105" s="13">
        <f>$O105*$U$4</f>
        <v>15</v>
      </c>
      <c r="Q105" s="13">
        <f>$O105*$U$5</f>
        <v>20</v>
      </c>
      <c r="R105" s="13" cm="1">
        <f t="array" ref="R105">_xlfn.IFS(B105=2023,O105*$U$4,B105=2024,O105*$U$5)</f>
        <v>15</v>
      </c>
    </row>
    <row r="106" spans="1:18">
      <c r="A106" s="2">
        <v>105</v>
      </c>
      <c r="B106" s="4">
        <f t="shared" si="6"/>
        <v>2023</v>
      </c>
      <c r="C106" s="4">
        <f t="shared" si="7"/>
        <v>7</v>
      </c>
      <c r="D106" s="4">
        <f t="shared" si="8"/>
        <v>25</v>
      </c>
      <c r="E106" s="4" t="str">
        <f t="shared" si="9"/>
        <v>Tuesday</v>
      </c>
      <c r="F106" s="4" t="str">
        <f t="shared" si="10"/>
        <v>July</v>
      </c>
      <c r="G106" s="3">
        <v>45132</v>
      </c>
      <c r="H106" s="4" t="s">
        <v>137</v>
      </c>
      <c r="I106" s="4" t="s">
        <v>22</v>
      </c>
      <c r="J106" s="4" t="str" cm="1">
        <f t="array" ref="J106">_xlfn.IFS(K106&lt;30,"Young Adult",K106&lt;50,"Adult",K106&gt;=50,"Senior")</f>
        <v>Young Adult</v>
      </c>
      <c r="K106" s="4">
        <v>22</v>
      </c>
      <c r="L106" s="4" t="s">
        <v>26</v>
      </c>
      <c r="M106" s="4">
        <v>1</v>
      </c>
      <c r="N106" s="16">
        <v>500</v>
      </c>
      <c r="O106" s="17">
        <f>M106*N106</f>
        <v>500</v>
      </c>
      <c r="P106" s="13">
        <f>$O106*$U$4</f>
        <v>7.5</v>
      </c>
      <c r="Q106" s="13">
        <f>$O106*$U$5</f>
        <v>10</v>
      </c>
      <c r="R106" s="13" cm="1">
        <f t="array" ref="R106">_xlfn.IFS(B106=2023,O106*$U$4,B106=2024,O106*$U$5)</f>
        <v>7.5</v>
      </c>
    </row>
    <row r="107" spans="1:18">
      <c r="A107" s="2">
        <v>106</v>
      </c>
      <c r="B107" s="4">
        <f t="shared" si="6"/>
        <v>2023</v>
      </c>
      <c r="C107" s="4">
        <f t="shared" si="7"/>
        <v>5</v>
      </c>
      <c r="D107" s="4">
        <f t="shared" si="8"/>
        <v>18</v>
      </c>
      <c r="E107" s="4" t="str">
        <f t="shared" si="9"/>
        <v>Thursday</v>
      </c>
      <c r="F107" s="4" t="str">
        <f t="shared" si="10"/>
        <v>May</v>
      </c>
      <c r="G107" s="3">
        <v>45064</v>
      </c>
      <c r="H107" s="4" t="s">
        <v>138</v>
      </c>
      <c r="I107" s="4" t="s">
        <v>22</v>
      </c>
      <c r="J107" s="4" t="str" cm="1">
        <f t="array" ref="J107">_xlfn.IFS(K107&lt;30,"Young Adult",K107&lt;50,"Adult",K107&gt;=50,"Senior")</f>
        <v>Adult</v>
      </c>
      <c r="K107" s="4">
        <v>46</v>
      </c>
      <c r="L107" s="4" t="s">
        <v>23</v>
      </c>
      <c r="M107" s="4">
        <v>1</v>
      </c>
      <c r="N107" s="16">
        <v>50</v>
      </c>
      <c r="O107" s="17">
        <f>M107*N107</f>
        <v>50</v>
      </c>
      <c r="P107" s="13">
        <f>$O107*$U$4</f>
        <v>0.75</v>
      </c>
      <c r="Q107" s="13">
        <f>$O107*$U$5</f>
        <v>1</v>
      </c>
      <c r="R107" s="13" cm="1">
        <f t="array" ref="R107">_xlfn.IFS(B107=2023,O107*$U$4,B107=2024,O107*$U$5)</f>
        <v>0.75</v>
      </c>
    </row>
    <row r="108" spans="1:18">
      <c r="A108" s="2">
        <v>107</v>
      </c>
      <c r="B108" s="4">
        <f t="shared" si="6"/>
        <v>2023</v>
      </c>
      <c r="C108" s="4">
        <f t="shared" si="7"/>
        <v>2</v>
      </c>
      <c r="D108" s="4">
        <f t="shared" si="8"/>
        <v>3</v>
      </c>
      <c r="E108" s="4" t="str">
        <f t="shared" si="9"/>
        <v>Friday</v>
      </c>
      <c r="F108" s="4" t="str">
        <f t="shared" si="10"/>
        <v>February</v>
      </c>
      <c r="G108" s="3">
        <v>44960</v>
      </c>
      <c r="H108" s="4" t="s">
        <v>139</v>
      </c>
      <c r="I108" s="4" t="s">
        <v>22</v>
      </c>
      <c r="J108" s="4" t="str" cm="1">
        <f t="array" ref="J108">_xlfn.IFS(K108&lt;30,"Young Adult",K108&lt;50,"Adult",K108&gt;=50,"Senior")</f>
        <v>Young Adult</v>
      </c>
      <c r="K108" s="4">
        <v>21</v>
      </c>
      <c r="L108" s="4" t="s">
        <v>23</v>
      </c>
      <c r="M108" s="4">
        <v>4</v>
      </c>
      <c r="N108" s="16">
        <v>300</v>
      </c>
      <c r="O108" s="17">
        <f>M108*N108</f>
        <v>1200</v>
      </c>
      <c r="P108" s="13">
        <f>$O108*$U$4</f>
        <v>18</v>
      </c>
      <c r="Q108" s="13">
        <f>$O108*$U$5</f>
        <v>24</v>
      </c>
      <c r="R108" s="13" cm="1">
        <f t="array" ref="R108">_xlfn.IFS(B108=2023,O108*$U$4,B108=2024,O108*$U$5)</f>
        <v>18</v>
      </c>
    </row>
    <row r="109" spans="1:18">
      <c r="A109" s="2">
        <v>108</v>
      </c>
      <c r="B109" s="4">
        <f t="shared" si="6"/>
        <v>2023</v>
      </c>
      <c r="C109" s="4">
        <f t="shared" si="7"/>
        <v>4</v>
      </c>
      <c r="D109" s="4">
        <f t="shared" si="8"/>
        <v>19</v>
      </c>
      <c r="E109" s="4" t="str">
        <f t="shared" si="9"/>
        <v>Wednesday</v>
      </c>
      <c r="F109" s="4" t="str">
        <f t="shared" si="10"/>
        <v>April</v>
      </c>
      <c r="G109" s="3">
        <v>45035</v>
      </c>
      <c r="H109" s="4" t="s">
        <v>140</v>
      </c>
      <c r="I109" s="4" t="s">
        <v>22</v>
      </c>
      <c r="J109" s="4" t="str" cm="1">
        <f t="array" ref="J109">_xlfn.IFS(K109&lt;30,"Young Adult",K109&lt;50,"Adult",K109&gt;=50,"Senior")</f>
        <v>Young Adult</v>
      </c>
      <c r="K109" s="4">
        <v>27</v>
      </c>
      <c r="L109" s="4" t="s">
        <v>20</v>
      </c>
      <c r="M109" s="4">
        <v>3</v>
      </c>
      <c r="N109" s="16">
        <v>25</v>
      </c>
      <c r="O109" s="17">
        <f>M109*N109</f>
        <v>75</v>
      </c>
      <c r="P109" s="13">
        <f>$O109*$U$4</f>
        <v>1.125</v>
      </c>
      <c r="Q109" s="13">
        <f>$O109*$U$5</f>
        <v>1.5</v>
      </c>
      <c r="R109" s="13" cm="1">
        <f t="array" ref="R109">_xlfn.IFS(B109=2023,O109*$U$4,B109=2024,O109*$U$5)</f>
        <v>1.125</v>
      </c>
    </row>
    <row r="110" spans="1:18">
      <c r="A110" s="2">
        <v>109</v>
      </c>
      <c r="B110" s="4">
        <f t="shared" si="6"/>
        <v>2023</v>
      </c>
      <c r="C110" s="4">
        <f t="shared" si="7"/>
        <v>10</v>
      </c>
      <c r="D110" s="4">
        <f t="shared" si="8"/>
        <v>18</v>
      </c>
      <c r="E110" s="4" t="str">
        <f t="shared" si="9"/>
        <v>Wednesday</v>
      </c>
      <c r="F110" s="4" t="str">
        <f t="shared" si="10"/>
        <v>October</v>
      </c>
      <c r="G110" s="3">
        <v>45217</v>
      </c>
      <c r="H110" s="4" t="s">
        <v>141</v>
      </c>
      <c r="I110" s="4" t="s">
        <v>22</v>
      </c>
      <c r="J110" s="4" t="str" cm="1">
        <f t="array" ref="J110">_xlfn.IFS(K110&lt;30,"Young Adult",K110&lt;50,"Adult",K110&gt;=50,"Senior")</f>
        <v>Adult</v>
      </c>
      <c r="K110" s="4">
        <v>34</v>
      </c>
      <c r="L110" s="4" t="s">
        <v>26</v>
      </c>
      <c r="M110" s="4">
        <v>4</v>
      </c>
      <c r="N110" s="16">
        <v>500</v>
      </c>
      <c r="O110" s="17">
        <f>M110*N110</f>
        <v>2000</v>
      </c>
      <c r="P110" s="13">
        <f>$O110*$U$4</f>
        <v>30</v>
      </c>
      <c r="Q110" s="13">
        <f>$O110*$U$5</f>
        <v>40</v>
      </c>
      <c r="R110" s="13" cm="1">
        <f t="array" ref="R110">_xlfn.IFS(B110=2023,O110*$U$4,B110=2024,O110*$U$5)</f>
        <v>30</v>
      </c>
    </row>
    <row r="111" spans="1:18">
      <c r="A111" s="2">
        <v>110</v>
      </c>
      <c r="B111" s="4">
        <f t="shared" si="6"/>
        <v>2023</v>
      </c>
      <c r="C111" s="4">
        <f t="shared" si="7"/>
        <v>6</v>
      </c>
      <c r="D111" s="4">
        <f t="shared" si="8"/>
        <v>11</v>
      </c>
      <c r="E111" s="4" t="str">
        <f t="shared" si="9"/>
        <v>Sunday</v>
      </c>
      <c r="F111" s="4" t="str">
        <f t="shared" si="10"/>
        <v>June</v>
      </c>
      <c r="G111" s="3">
        <v>45088</v>
      </c>
      <c r="H111" s="4" t="s">
        <v>142</v>
      </c>
      <c r="I111" s="4" t="s">
        <v>19</v>
      </c>
      <c r="J111" s="4" t="str" cm="1">
        <f t="array" ref="J111">_xlfn.IFS(K111&lt;30,"Young Adult",K111&lt;50,"Adult",K111&gt;=50,"Senior")</f>
        <v>Young Adult</v>
      </c>
      <c r="K111" s="4">
        <v>27</v>
      </c>
      <c r="L111" s="4" t="s">
        <v>23</v>
      </c>
      <c r="M111" s="4">
        <v>3</v>
      </c>
      <c r="N111" s="16">
        <v>300</v>
      </c>
      <c r="O111" s="17">
        <f>M111*N111</f>
        <v>900</v>
      </c>
      <c r="P111" s="13">
        <f>$O111*$U$4</f>
        <v>13.5</v>
      </c>
      <c r="Q111" s="13">
        <f>$O111*$U$5</f>
        <v>18</v>
      </c>
      <c r="R111" s="13" cm="1">
        <f t="array" ref="R111">_xlfn.IFS(B111=2023,O111*$U$4,B111=2024,O111*$U$5)</f>
        <v>13.5</v>
      </c>
    </row>
    <row r="112" spans="1:18">
      <c r="A112" s="2">
        <v>111</v>
      </c>
      <c r="B112" s="4">
        <f t="shared" si="6"/>
        <v>2023</v>
      </c>
      <c r="C112" s="4">
        <f t="shared" si="7"/>
        <v>4</v>
      </c>
      <c r="D112" s="4">
        <f t="shared" si="8"/>
        <v>19</v>
      </c>
      <c r="E112" s="4" t="str">
        <f t="shared" si="9"/>
        <v>Wednesday</v>
      </c>
      <c r="F112" s="4" t="str">
        <f t="shared" si="10"/>
        <v>April</v>
      </c>
      <c r="G112" s="3">
        <v>45035</v>
      </c>
      <c r="H112" s="4" t="s">
        <v>143</v>
      </c>
      <c r="I112" s="4" t="s">
        <v>22</v>
      </c>
      <c r="J112" s="4" t="str" cm="1">
        <f t="array" ref="J112">_xlfn.IFS(K112&lt;30,"Young Adult",K112&lt;50,"Adult",K112&gt;=50,"Senior")</f>
        <v>Adult</v>
      </c>
      <c r="K112" s="4">
        <v>34</v>
      </c>
      <c r="L112" s="4" t="s">
        <v>26</v>
      </c>
      <c r="M112" s="4">
        <v>3</v>
      </c>
      <c r="N112" s="16">
        <v>500</v>
      </c>
      <c r="O112" s="17">
        <f>M112*N112</f>
        <v>1500</v>
      </c>
      <c r="P112" s="13">
        <f>$O112*$U$4</f>
        <v>22.5</v>
      </c>
      <c r="Q112" s="13">
        <f>$O112*$U$5</f>
        <v>30</v>
      </c>
      <c r="R112" s="13" cm="1">
        <f t="array" ref="R112">_xlfn.IFS(B112=2023,O112*$U$4,B112=2024,O112*$U$5)</f>
        <v>22.5</v>
      </c>
    </row>
    <row r="113" spans="1:18">
      <c r="A113" s="2">
        <v>112</v>
      </c>
      <c r="B113" s="4">
        <f t="shared" si="6"/>
        <v>2023</v>
      </c>
      <c r="C113" s="4">
        <f t="shared" si="7"/>
        <v>12</v>
      </c>
      <c r="D113" s="4">
        <f t="shared" si="8"/>
        <v>2</v>
      </c>
      <c r="E113" s="4" t="str">
        <f t="shared" si="9"/>
        <v>Saturday</v>
      </c>
      <c r="F113" s="4" t="str">
        <f t="shared" si="10"/>
        <v>December</v>
      </c>
      <c r="G113" s="3">
        <v>45262</v>
      </c>
      <c r="H113" s="4" t="s">
        <v>144</v>
      </c>
      <c r="I113" s="4" t="s">
        <v>19</v>
      </c>
      <c r="J113" s="4" t="str" cm="1">
        <f t="array" ref="J113">_xlfn.IFS(K113&lt;30,"Young Adult",K113&lt;50,"Adult",K113&gt;=50,"Senior")</f>
        <v>Adult</v>
      </c>
      <c r="K113" s="4">
        <v>37</v>
      </c>
      <c r="L113" s="4" t="s">
        <v>23</v>
      </c>
      <c r="M113" s="4">
        <v>3</v>
      </c>
      <c r="N113" s="16">
        <v>500</v>
      </c>
      <c r="O113" s="17">
        <f>M113*N113</f>
        <v>1500</v>
      </c>
      <c r="P113" s="13">
        <f>$O113*$U$4</f>
        <v>22.5</v>
      </c>
      <c r="Q113" s="13">
        <f>$O113*$U$5</f>
        <v>30</v>
      </c>
      <c r="R113" s="13" cm="1">
        <f t="array" ref="R113">_xlfn.IFS(B113=2023,O113*$U$4,B113=2024,O113*$U$5)</f>
        <v>22.5</v>
      </c>
    </row>
    <row r="114" spans="1:18">
      <c r="A114" s="2">
        <v>113</v>
      </c>
      <c r="B114" s="4">
        <f t="shared" si="6"/>
        <v>2023</v>
      </c>
      <c r="C114" s="4">
        <f t="shared" si="7"/>
        <v>9</v>
      </c>
      <c r="D114" s="4">
        <f t="shared" si="8"/>
        <v>13</v>
      </c>
      <c r="E114" s="4" t="str">
        <f t="shared" si="9"/>
        <v>Wednesday</v>
      </c>
      <c r="F114" s="4" t="str">
        <f t="shared" si="10"/>
        <v>September</v>
      </c>
      <c r="G114" s="3">
        <v>45182</v>
      </c>
      <c r="H114" s="4" t="s">
        <v>145</v>
      </c>
      <c r="I114" s="4" t="s">
        <v>22</v>
      </c>
      <c r="J114" s="4" t="str" cm="1">
        <f t="array" ref="J114">_xlfn.IFS(K114&lt;30,"Young Adult",K114&lt;50,"Adult",K114&gt;=50,"Senior")</f>
        <v>Adult</v>
      </c>
      <c r="K114" s="4">
        <v>41</v>
      </c>
      <c r="L114" s="4" t="s">
        <v>26</v>
      </c>
      <c r="M114" s="4">
        <v>2</v>
      </c>
      <c r="N114" s="16">
        <v>25</v>
      </c>
      <c r="O114" s="17">
        <f>M114*N114</f>
        <v>50</v>
      </c>
      <c r="P114" s="13">
        <f>$O114*$U$4</f>
        <v>0.75</v>
      </c>
      <c r="Q114" s="13">
        <f>$O114*$U$5</f>
        <v>1</v>
      </c>
      <c r="R114" s="13" cm="1">
        <f t="array" ref="R114">_xlfn.IFS(B114=2023,O114*$U$4,B114=2024,O114*$U$5)</f>
        <v>0.75</v>
      </c>
    </row>
    <row r="115" spans="1:18">
      <c r="A115" s="2">
        <v>114</v>
      </c>
      <c r="B115" s="4">
        <f t="shared" si="6"/>
        <v>2023</v>
      </c>
      <c r="C115" s="4">
        <f t="shared" si="7"/>
        <v>7</v>
      </c>
      <c r="D115" s="4">
        <f t="shared" si="8"/>
        <v>22</v>
      </c>
      <c r="E115" s="4" t="str">
        <f t="shared" si="9"/>
        <v>Saturday</v>
      </c>
      <c r="F115" s="4" t="str">
        <f t="shared" si="10"/>
        <v>July</v>
      </c>
      <c r="G115" s="3">
        <v>45129</v>
      </c>
      <c r="H115" s="4" t="s">
        <v>146</v>
      </c>
      <c r="I115" s="4" t="s">
        <v>22</v>
      </c>
      <c r="J115" s="4" t="str" cm="1">
        <f t="array" ref="J115">_xlfn.IFS(K115&lt;30,"Young Adult",K115&lt;50,"Adult",K115&gt;=50,"Senior")</f>
        <v>Young Adult</v>
      </c>
      <c r="K115" s="4">
        <v>22</v>
      </c>
      <c r="L115" s="4" t="s">
        <v>20</v>
      </c>
      <c r="M115" s="4">
        <v>4</v>
      </c>
      <c r="N115" s="16">
        <v>25</v>
      </c>
      <c r="O115" s="17">
        <f>M115*N115</f>
        <v>100</v>
      </c>
      <c r="P115" s="13">
        <f>$O115*$U$4</f>
        <v>1.5</v>
      </c>
      <c r="Q115" s="13">
        <f>$O115*$U$5</f>
        <v>2</v>
      </c>
      <c r="R115" s="13" cm="1">
        <f t="array" ref="R115">_xlfn.IFS(B115=2023,O115*$U$4,B115=2024,O115*$U$5)</f>
        <v>1.5</v>
      </c>
    </row>
    <row r="116" spans="1:18">
      <c r="A116" s="2">
        <v>115</v>
      </c>
      <c r="B116" s="4">
        <f t="shared" si="6"/>
        <v>2023</v>
      </c>
      <c r="C116" s="4">
        <f t="shared" si="7"/>
        <v>11</v>
      </c>
      <c r="D116" s="4">
        <f t="shared" si="8"/>
        <v>26</v>
      </c>
      <c r="E116" s="4" t="str">
        <f t="shared" si="9"/>
        <v>Sunday</v>
      </c>
      <c r="F116" s="4" t="str">
        <f t="shared" si="10"/>
        <v>November</v>
      </c>
      <c r="G116" s="3">
        <v>45256</v>
      </c>
      <c r="H116" s="4" t="s">
        <v>147</v>
      </c>
      <c r="I116" s="4" t="s">
        <v>19</v>
      </c>
      <c r="J116" s="4" t="str" cm="1">
        <f t="array" ref="J116">_xlfn.IFS(K116&lt;30,"Young Adult",K116&lt;50,"Adult",K116&gt;=50,"Senior")</f>
        <v>Senior</v>
      </c>
      <c r="K116" s="4">
        <v>51</v>
      </c>
      <c r="L116" s="4" t="s">
        <v>23</v>
      </c>
      <c r="M116" s="4">
        <v>3</v>
      </c>
      <c r="N116" s="16">
        <v>500</v>
      </c>
      <c r="O116" s="17">
        <f>M116*N116</f>
        <v>1500</v>
      </c>
      <c r="P116" s="13">
        <f>$O116*$U$4</f>
        <v>22.5</v>
      </c>
      <c r="Q116" s="13">
        <f>$O116*$U$5</f>
        <v>30</v>
      </c>
      <c r="R116" s="13" cm="1">
        <f t="array" ref="R116">_xlfn.IFS(B116=2023,O116*$U$4,B116=2024,O116*$U$5)</f>
        <v>22.5</v>
      </c>
    </row>
    <row r="117" spans="1:18">
      <c r="A117" s="2">
        <v>116</v>
      </c>
      <c r="B117" s="4">
        <f t="shared" si="6"/>
        <v>2023</v>
      </c>
      <c r="C117" s="4">
        <f t="shared" si="7"/>
        <v>8</v>
      </c>
      <c r="D117" s="4">
        <f t="shared" si="8"/>
        <v>23</v>
      </c>
      <c r="E117" s="4" t="str">
        <f t="shared" si="9"/>
        <v>Wednesday</v>
      </c>
      <c r="F117" s="4" t="str">
        <f t="shared" si="10"/>
        <v>August</v>
      </c>
      <c r="G117" s="3">
        <v>45161</v>
      </c>
      <c r="H117" s="4" t="s">
        <v>148</v>
      </c>
      <c r="I117" s="4" t="s">
        <v>22</v>
      </c>
      <c r="J117" s="4" t="str" cm="1">
        <f t="array" ref="J117">_xlfn.IFS(K117&lt;30,"Young Adult",K117&lt;50,"Adult",K117&gt;=50,"Senior")</f>
        <v>Young Adult</v>
      </c>
      <c r="K117" s="4">
        <v>23</v>
      </c>
      <c r="L117" s="4" t="s">
        <v>23</v>
      </c>
      <c r="M117" s="4">
        <v>1</v>
      </c>
      <c r="N117" s="16">
        <v>30</v>
      </c>
      <c r="O117" s="17">
        <f>M117*N117</f>
        <v>30</v>
      </c>
      <c r="P117" s="13">
        <f>$O117*$U$4</f>
        <v>0.44999999999999996</v>
      </c>
      <c r="Q117" s="13">
        <f>$O117*$U$5</f>
        <v>0.6</v>
      </c>
      <c r="R117" s="13" cm="1">
        <f t="array" ref="R117">_xlfn.IFS(B117=2023,O117*$U$4,B117=2024,O117*$U$5)</f>
        <v>0.44999999999999996</v>
      </c>
    </row>
    <row r="118" spans="1:18">
      <c r="A118" s="2">
        <v>117</v>
      </c>
      <c r="B118" s="4">
        <f t="shared" si="6"/>
        <v>2023</v>
      </c>
      <c r="C118" s="4">
        <f t="shared" si="7"/>
        <v>3</v>
      </c>
      <c r="D118" s="4">
        <f t="shared" si="8"/>
        <v>15</v>
      </c>
      <c r="E118" s="4" t="str">
        <f t="shared" si="9"/>
        <v>Wednesday</v>
      </c>
      <c r="F118" s="4" t="str">
        <f t="shared" si="10"/>
        <v>March</v>
      </c>
      <c r="G118" s="3">
        <v>45000</v>
      </c>
      <c r="H118" s="4" t="s">
        <v>149</v>
      </c>
      <c r="I118" s="4" t="s">
        <v>19</v>
      </c>
      <c r="J118" s="4" t="str" cm="1">
        <f t="array" ref="J118">_xlfn.IFS(K118&lt;30,"Young Adult",K118&lt;50,"Adult",K118&gt;=50,"Senior")</f>
        <v>Young Adult</v>
      </c>
      <c r="K118" s="4">
        <v>19</v>
      </c>
      <c r="L118" s="4" t="s">
        <v>26</v>
      </c>
      <c r="M118" s="4">
        <v>2</v>
      </c>
      <c r="N118" s="16">
        <v>500</v>
      </c>
      <c r="O118" s="17">
        <f>M118*N118</f>
        <v>1000</v>
      </c>
      <c r="P118" s="13">
        <f>$O118*$U$4</f>
        <v>15</v>
      </c>
      <c r="Q118" s="13">
        <f>$O118*$U$5</f>
        <v>20</v>
      </c>
      <c r="R118" s="13" cm="1">
        <f t="array" ref="R118">_xlfn.IFS(B118=2023,O118*$U$4,B118=2024,O118*$U$5)</f>
        <v>15</v>
      </c>
    </row>
    <row r="119" spans="1:18">
      <c r="A119" s="2">
        <v>118</v>
      </c>
      <c r="B119" s="4">
        <f t="shared" si="6"/>
        <v>2023</v>
      </c>
      <c r="C119" s="4">
        <f t="shared" si="7"/>
        <v>5</v>
      </c>
      <c r="D119" s="4">
        <f t="shared" si="8"/>
        <v>16</v>
      </c>
      <c r="E119" s="4" t="str">
        <f t="shared" si="9"/>
        <v>Tuesday</v>
      </c>
      <c r="F119" s="4" t="str">
        <f t="shared" si="10"/>
        <v>May</v>
      </c>
      <c r="G119" s="3">
        <v>45062</v>
      </c>
      <c r="H119" s="4" t="s">
        <v>150</v>
      </c>
      <c r="I119" s="4" t="s">
        <v>22</v>
      </c>
      <c r="J119" s="4" t="str" cm="1">
        <f t="array" ref="J119">_xlfn.IFS(K119&lt;30,"Young Adult",K119&lt;50,"Adult",K119&gt;=50,"Senior")</f>
        <v>Adult</v>
      </c>
      <c r="K119" s="4">
        <v>30</v>
      </c>
      <c r="L119" s="4" t="s">
        <v>26</v>
      </c>
      <c r="M119" s="4">
        <v>4</v>
      </c>
      <c r="N119" s="16">
        <v>500</v>
      </c>
      <c r="O119" s="17">
        <f>M119*N119</f>
        <v>2000</v>
      </c>
      <c r="P119" s="13">
        <f>$O119*$U$4</f>
        <v>30</v>
      </c>
      <c r="Q119" s="13">
        <f>$O119*$U$5</f>
        <v>40</v>
      </c>
      <c r="R119" s="13" cm="1">
        <f t="array" ref="R119">_xlfn.IFS(B119=2023,O119*$U$4,B119=2024,O119*$U$5)</f>
        <v>30</v>
      </c>
    </row>
    <row r="120" spans="1:18">
      <c r="A120" s="2">
        <v>119</v>
      </c>
      <c r="B120" s="4">
        <f t="shared" si="6"/>
        <v>2023</v>
      </c>
      <c r="C120" s="4">
        <f t="shared" si="7"/>
        <v>3</v>
      </c>
      <c r="D120" s="4">
        <f t="shared" si="8"/>
        <v>13</v>
      </c>
      <c r="E120" s="4" t="str">
        <f t="shared" si="9"/>
        <v>Monday</v>
      </c>
      <c r="F120" s="4" t="str">
        <f t="shared" si="10"/>
        <v>March</v>
      </c>
      <c r="G120" s="3">
        <v>44998</v>
      </c>
      <c r="H120" s="4" t="s">
        <v>151</v>
      </c>
      <c r="I120" s="4" t="s">
        <v>22</v>
      </c>
      <c r="J120" s="4" t="str" cm="1">
        <f t="array" ref="J120">_xlfn.IFS(K120&lt;30,"Young Adult",K120&lt;50,"Adult",K120&gt;=50,"Senior")</f>
        <v>Senior</v>
      </c>
      <c r="K120" s="4">
        <v>60</v>
      </c>
      <c r="L120" s="4" t="s">
        <v>23</v>
      </c>
      <c r="M120" s="4">
        <v>3</v>
      </c>
      <c r="N120" s="16">
        <v>50</v>
      </c>
      <c r="O120" s="17">
        <f>M120*N120</f>
        <v>150</v>
      </c>
      <c r="P120" s="13">
        <f>$O120*$U$4</f>
        <v>2.25</v>
      </c>
      <c r="Q120" s="13">
        <f>$O120*$U$5</f>
        <v>3</v>
      </c>
      <c r="R120" s="13" cm="1">
        <f t="array" ref="R120">_xlfn.IFS(B120=2023,O120*$U$4,B120=2024,O120*$U$5)</f>
        <v>2.25</v>
      </c>
    </row>
    <row r="121" spans="1:18">
      <c r="A121" s="2">
        <v>120</v>
      </c>
      <c r="B121" s="4">
        <f t="shared" si="6"/>
        <v>2023</v>
      </c>
      <c r="C121" s="4">
        <f t="shared" si="7"/>
        <v>5</v>
      </c>
      <c r="D121" s="4">
        <f t="shared" si="8"/>
        <v>7</v>
      </c>
      <c r="E121" s="4" t="str">
        <f t="shared" si="9"/>
        <v>Sunday</v>
      </c>
      <c r="F121" s="4" t="str">
        <f t="shared" si="10"/>
        <v>May</v>
      </c>
      <c r="G121" s="3">
        <v>45053</v>
      </c>
      <c r="H121" s="4" t="s">
        <v>152</v>
      </c>
      <c r="I121" s="4" t="s">
        <v>19</v>
      </c>
      <c r="J121" s="4" t="str" cm="1">
        <f t="array" ref="J121">_xlfn.IFS(K121&lt;30,"Young Adult",K121&lt;50,"Adult",K121&gt;=50,"Senior")</f>
        <v>Senior</v>
      </c>
      <c r="K121" s="4">
        <v>60</v>
      </c>
      <c r="L121" s="4" t="s">
        <v>20</v>
      </c>
      <c r="M121" s="4">
        <v>1</v>
      </c>
      <c r="N121" s="16">
        <v>50</v>
      </c>
      <c r="O121" s="17">
        <f>M121*N121</f>
        <v>50</v>
      </c>
      <c r="P121" s="13">
        <f>$O121*$U$4</f>
        <v>0.75</v>
      </c>
      <c r="Q121" s="13">
        <f>$O121*$U$5</f>
        <v>1</v>
      </c>
      <c r="R121" s="13" cm="1">
        <f t="array" ref="R121">_xlfn.IFS(B121=2023,O121*$U$4,B121=2024,O121*$U$5)</f>
        <v>0.75</v>
      </c>
    </row>
    <row r="122" spans="1:18">
      <c r="A122" s="2">
        <v>121</v>
      </c>
      <c r="B122" s="4">
        <f t="shared" si="6"/>
        <v>2023</v>
      </c>
      <c r="C122" s="4">
        <f t="shared" si="7"/>
        <v>10</v>
      </c>
      <c r="D122" s="4">
        <f t="shared" si="8"/>
        <v>15</v>
      </c>
      <c r="E122" s="4" t="str">
        <f t="shared" si="9"/>
        <v>Sunday</v>
      </c>
      <c r="F122" s="4" t="str">
        <f t="shared" si="10"/>
        <v>October</v>
      </c>
      <c r="G122" s="3">
        <v>45214</v>
      </c>
      <c r="H122" s="4" t="s">
        <v>153</v>
      </c>
      <c r="I122" s="4" t="s">
        <v>22</v>
      </c>
      <c r="J122" s="4" t="str" cm="1">
        <f t="array" ref="J122">_xlfn.IFS(K122&lt;30,"Young Adult",K122&lt;50,"Adult",K122&gt;=50,"Senior")</f>
        <v>Young Adult</v>
      </c>
      <c r="K122" s="4">
        <v>28</v>
      </c>
      <c r="L122" s="4" t="s">
        <v>26</v>
      </c>
      <c r="M122" s="4">
        <v>4</v>
      </c>
      <c r="N122" s="16">
        <v>50</v>
      </c>
      <c r="O122" s="17">
        <f>M122*N122</f>
        <v>200</v>
      </c>
      <c r="P122" s="13">
        <f>$O122*$U$4</f>
        <v>3</v>
      </c>
      <c r="Q122" s="13">
        <f>$O122*$U$5</f>
        <v>4</v>
      </c>
      <c r="R122" s="13" cm="1">
        <f t="array" ref="R122">_xlfn.IFS(B122=2023,O122*$U$4,B122=2024,O122*$U$5)</f>
        <v>3</v>
      </c>
    </row>
    <row r="123" spans="1:18">
      <c r="A123" s="2">
        <v>122</v>
      </c>
      <c r="B123" s="4">
        <f t="shared" si="6"/>
        <v>2023</v>
      </c>
      <c r="C123" s="4">
        <f t="shared" si="7"/>
        <v>10</v>
      </c>
      <c r="D123" s="4">
        <f t="shared" si="8"/>
        <v>3</v>
      </c>
      <c r="E123" s="4" t="str">
        <f t="shared" si="9"/>
        <v>Tuesday</v>
      </c>
      <c r="F123" s="4" t="str">
        <f t="shared" si="10"/>
        <v>October</v>
      </c>
      <c r="G123" s="3">
        <v>45202</v>
      </c>
      <c r="H123" s="4" t="s">
        <v>154</v>
      </c>
      <c r="I123" s="4" t="s">
        <v>19</v>
      </c>
      <c r="J123" s="4" t="str" cm="1">
        <f t="array" ref="J123">_xlfn.IFS(K123&lt;30,"Young Adult",K123&lt;50,"Adult",K123&gt;=50,"Senior")</f>
        <v>Senior</v>
      </c>
      <c r="K123" s="4">
        <v>64</v>
      </c>
      <c r="L123" s="4" t="s">
        <v>26</v>
      </c>
      <c r="M123" s="4">
        <v>4</v>
      </c>
      <c r="N123" s="16">
        <v>30</v>
      </c>
      <c r="O123" s="17">
        <f>M123*N123</f>
        <v>120</v>
      </c>
      <c r="P123" s="13">
        <f>$O123*$U$4</f>
        <v>1.7999999999999998</v>
      </c>
      <c r="Q123" s="13">
        <f>$O123*$U$5</f>
        <v>2.4</v>
      </c>
      <c r="R123" s="13" cm="1">
        <f t="array" ref="R123">_xlfn.IFS(B123=2023,O123*$U$4,B123=2024,O123*$U$5)</f>
        <v>1.7999999999999998</v>
      </c>
    </row>
    <row r="124" spans="1:18">
      <c r="A124" s="2">
        <v>123</v>
      </c>
      <c r="B124" s="4">
        <f t="shared" si="6"/>
        <v>2023</v>
      </c>
      <c r="C124" s="4">
        <f t="shared" si="7"/>
        <v>5</v>
      </c>
      <c r="D124" s="4">
        <f t="shared" si="8"/>
        <v>15</v>
      </c>
      <c r="E124" s="4" t="str">
        <f t="shared" si="9"/>
        <v>Monday</v>
      </c>
      <c r="F124" s="4" t="str">
        <f t="shared" si="10"/>
        <v>May</v>
      </c>
      <c r="G124" s="3">
        <v>45061</v>
      </c>
      <c r="H124" s="4" t="s">
        <v>155</v>
      </c>
      <c r="I124" s="4" t="s">
        <v>22</v>
      </c>
      <c r="J124" s="4" t="str" cm="1">
        <f t="array" ref="J124">_xlfn.IFS(K124&lt;30,"Young Adult",K124&lt;50,"Adult",K124&gt;=50,"Senior")</f>
        <v>Adult</v>
      </c>
      <c r="K124" s="4">
        <v>40</v>
      </c>
      <c r="L124" s="4" t="s">
        <v>26</v>
      </c>
      <c r="M124" s="4">
        <v>2</v>
      </c>
      <c r="N124" s="16">
        <v>30</v>
      </c>
      <c r="O124" s="17">
        <f>M124*N124</f>
        <v>60</v>
      </c>
      <c r="P124" s="13">
        <f>$O124*$U$4</f>
        <v>0.89999999999999991</v>
      </c>
      <c r="Q124" s="13">
        <f>$O124*$U$5</f>
        <v>1.2</v>
      </c>
      <c r="R124" s="13" cm="1">
        <f t="array" ref="R124">_xlfn.IFS(B124=2023,O124*$U$4,B124=2024,O124*$U$5)</f>
        <v>0.89999999999999991</v>
      </c>
    </row>
    <row r="125" spans="1:18">
      <c r="A125" s="2">
        <v>124</v>
      </c>
      <c r="B125" s="4">
        <f t="shared" si="6"/>
        <v>2023</v>
      </c>
      <c r="C125" s="4">
        <f t="shared" si="7"/>
        <v>10</v>
      </c>
      <c r="D125" s="4">
        <f t="shared" si="8"/>
        <v>27</v>
      </c>
      <c r="E125" s="4" t="str">
        <f t="shared" si="9"/>
        <v>Friday</v>
      </c>
      <c r="F125" s="4" t="str">
        <f t="shared" si="10"/>
        <v>October</v>
      </c>
      <c r="G125" s="3">
        <v>45226</v>
      </c>
      <c r="H125" s="4" t="s">
        <v>156</v>
      </c>
      <c r="I125" s="4" t="s">
        <v>19</v>
      </c>
      <c r="J125" s="4" t="str" cm="1">
        <f t="array" ref="J125">_xlfn.IFS(K125&lt;30,"Young Adult",K125&lt;50,"Adult",K125&gt;=50,"Senior")</f>
        <v>Adult</v>
      </c>
      <c r="K125" s="4">
        <v>33</v>
      </c>
      <c r="L125" s="4" t="s">
        <v>23</v>
      </c>
      <c r="M125" s="4">
        <v>4</v>
      </c>
      <c r="N125" s="16">
        <v>500</v>
      </c>
      <c r="O125" s="17">
        <f>M125*N125</f>
        <v>2000</v>
      </c>
      <c r="P125" s="13">
        <f>$O125*$U$4</f>
        <v>30</v>
      </c>
      <c r="Q125" s="13">
        <f>$O125*$U$5</f>
        <v>40</v>
      </c>
      <c r="R125" s="13" cm="1">
        <f t="array" ref="R125">_xlfn.IFS(B125=2023,O125*$U$4,B125=2024,O125*$U$5)</f>
        <v>30</v>
      </c>
    </row>
    <row r="126" spans="1:18">
      <c r="A126" s="2">
        <v>125</v>
      </c>
      <c r="B126" s="4">
        <f t="shared" si="6"/>
        <v>2023</v>
      </c>
      <c r="C126" s="4">
        <f t="shared" si="7"/>
        <v>8</v>
      </c>
      <c r="D126" s="4">
        <f t="shared" si="8"/>
        <v>8</v>
      </c>
      <c r="E126" s="4" t="str">
        <f t="shared" si="9"/>
        <v>Tuesday</v>
      </c>
      <c r="F126" s="4" t="str">
        <f t="shared" si="10"/>
        <v>August</v>
      </c>
      <c r="G126" s="3">
        <v>45146</v>
      </c>
      <c r="H126" s="4" t="s">
        <v>157</v>
      </c>
      <c r="I126" s="4" t="s">
        <v>19</v>
      </c>
      <c r="J126" s="4" t="str" cm="1">
        <f t="array" ref="J126">_xlfn.IFS(K126&lt;30,"Young Adult",K126&lt;50,"Adult",K126&gt;=50,"Senior")</f>
        <v>Adult</v>
      </c>
      <c r="K126" s="4">
        <v>48</v>
      </c>
      <c r="L126" s="4" t="s">
        <v>23</v>
      </c>
      <c r="M126" s="4">
        <v>2</v>
      </c>
      <c r="N126" s="16">
        <v>50</v>
      </c>
      <c r="O126" s="17">
        <f>M126*N126</f>
        <v>100</v>
      </c>
      <c r="P126" s="13">
        <f>$O126*$U$4</f>
        <v>1.5</v>
      </c>
      <c r="Q126" s="13">
        <f>$O126*$U$5</f>
        <v>2</v>
      </c>
      <c r="R126" s="13" cm="1">
        <f t="array" ref="R126">_xlfn.IFS(B126=2023,O126*$U$4,B126=2024,O126*$U$5)</f>
        <v>1.5</v>
      </c>
    </row>
    <row r="127" spans="1:18">
      <c r="A127" s="2">
        <v>126</v>
      </c>
      <c r="B127" s="4">
        <f t="shared" si="6"/>
        <v>2023</v>
      </c>
      <c r="C127" s="4">
        <f t="shared" si="7"/>
        <v>10</v>
      </c>
      <c r="D127" s="4">
        <f t="shared" si="8"/>
        <v>26</v>
      </c>
      <c r="E127" s="4" t="str">
        <f t="shared" si="9"/>
        <v>Thursday</v>
      </c>
      <c r="F127" s="4" t="str">
        <f t="shared" si="10"/>
        <v>October</v>
      </c>
      <c r="G127" s="3">
        <v>45225</v>
      </c>
      <c r="H127" s="4" t="s">
        <v>158</v>
      </c>
      <c r="I127" s="4" t="s">
        <v>22</v>
      </c>
      <c r="J127" s="4" t="str" cm="1">
        <f t="array" ref="J127">_xlfn.IFS(K127&lt;30,"Young Adult",K127&lt;50,"Adult",K127&gt;=50,"Senior")</f>
        <v>Young Adult</v>
      </c>
      <c r="K127" s="4">
        <v>28</v>
      </c>
      <c r="L127" s="4" t="s">
        <v>23</v>
      </c>
      <c r="M127" s="4">
        <v>3</v>
      </c>
      <c r="N127" s="16">
        <v>30</v>
      </c>
      <c r="O127" s="17">
        <f>M127*N127</f>
        <v>90</v>
      </c>
      <c r="P127" s="13">
        <f>$O127*$U$4</f>
        <v>1.3499999999999999</v>
      </c>
      <c r="Q127" s="13">
        <f>$O127*$U$5</f>
        <v>1.8</v>
      </c>
      <c r="R127" s="13" cm="1">
        <f t="array" ref="R127">_xlfn.IFS(B127=2023,O127*$U$4,B127=2024,O127*$U$5)</f>
        <v>1.3499999999999999</v>
      </c>
    </row>
    <row r="128" spans="1:18">
      <c r="A128" s="2">
        <v>127</v>
      </c>
      <c r="B128" s="4">
        <f t="shared" si="6"/>
        <v>2023</v>
      </c>
      <c r="C128" s="4">
        <f t="shared" si="7"/>
        <v>7</v>
      </c>
      <c r="D128" s="4">
        <f t="shared" si="8"/>
        <v>24</v>
      </c>
      <c r="E128" s="4" t="str">
        <f t="shared" si="9"/>
        <v>Monday</v>
      </c>
      <c r="F128" s="4" t="str">
        <f t="shared" si="10"/>
        <v>July</v>
      </c>
      <c r="G128" s="3">
        <v>45131</v>
      </c>
      <c r="H128" s="4" t="s">
        <v>159</v>
      </c>
      <c r="I128" s="4" t="s">
        <v>22</v>
      </c>
      <c r="J128" s="4" t="str" cm="1">
        <f t="array" ref="J128">_xlfn.IFS(K128&lt;30,"Young Adult",K128&lt;50,"Adult",K128&gt;=50,"Senior")</f>
        <v>Adult</v>
      </c>
      <c r="K128" s="4">
        <v>33</v>
      </c>
      <c r="L128" s="4" t="s">
        <v>23</v>
      </c>
      <c r="M128" s="4">
        <v>2</v>
      </c>
      <c r="N128" s="16">
        <v>25</v>
      </c>
      <c r="O128" s="17">
        <f>M128*N128</f>
        <v>50</v>
      </c>
      <c r="P128" s="13">
        <f>$O128*$U$4</f>
        <v>0.75</v>
      </c>
      <c r="Q128" s="13">
        <f>$O128*$U$5</f>
        <v>1</v>
      </c>
      <c r="R128" s="13" cm="1">
        <f t="array" ref="R128">_xlfn.IFS(B128=2023,O128*$U$4,B128=2024,O128*$U$5)</f>
        <v>0.75</v>
      </c>
    </row>
    <row r="129" spans="1:18">
      <c r="A129" s="2">
        <v>128</v>
      </c>
      <c r="B129" s="4">
        <f t="shared" si="6"/>
        <v>2023</v>
      </c>
      <c r="C129" s="4">
        <f t="shared" si="7"/>
        <v>7</v>
      </c>
      <c r="D129" s="4">
        <f t="shared" si="8"/>
        <v>5</v>
      </c>
      <c r="E129" s="4" t="str">
        <f t="shared" si="9"/>
        <v>Wednesday</v>
      </c>
      <c r="F129" s="4" t="str">
        <f t="shared" si="10"/>
        <v>July</v>
      </c>
      <c r="G129" s="3">
        <v>45112</v>
      </c>
      <c r="H129" s="4" t="s">
        <v>160</v>
      </c>
      <c r="I129" s="4" t="s">
        <v>19</v>
      </c>
      <c r="J129" s="4" t="str" cm="1">
        <f t="array" ref="J129">_xlfn.IFS(K129&lt;30,"Young Adult",K129&lt;50,"Adult",K129&gt;=50,"Senior")</f>
        <v>Young Adult</v>
      </c>
      <c r="K129" s="4">
        <v>25</v>
      </c>
      <c r="L129" s="4" t="s">
        <v>20</v>
      </c>
      <c r="M129" s="4">
        <v>1</v>
      </c>
      <c r="N129" s="16">
        <v>500</v>
      </c>
      <c r="O129" s="17">
        <f>M129*N129</f>
        <v>500</v>
      </c>
      <c r="P129" s="13">
        <f>$O129*$U$4</f>
        <v>7.5</v>
      </c>
      <c r="Q129" s="13">
        <f>$O129*$U$5</f>
        <v>10</v>
      </c>
      <c r="R129" s="13" cm="1">
        <f t="array" ref="R129">_xlfn.IFS(B129=2023,O129*$U$4,B129=2024,O129*$U$5)</f>
        <v>7.5</v>
      </c>
    </row>
    <row r="130" spans="1:18">
      <c r="A130" s="2">
        <v>129</v>
      </c>
      <c r="B130" s="4">
        <f t="shared" si="6"/>
        <v>2023</v>
      </c>
      <c r="C130" s="4">
        <f t="shared" si="7"/>
        <v>4</v>
      </c>
      <c r="D130" s="4">
        <f t="shared" si="8"/>
        <v>23</v>
      </c>
      <c r="E130" s="4" t="str">
        <f t="shared" si="9"/>
        <v>Sunday</v>
      </c>
      <c r="F130" s="4" t="str">
        <f t="shared" si="10"/>
        <v>April</v>
      </c>
      <c r="G130" s="3">
        <v>45039</v>
      </c>
      <c r="H130" s="4" t="s">
        <v>161</v>
      </c>
      <c r="I130" s="4" t="s">
        <v>22</v>
      </c>
      <c r="J130" s="4" t="str" cm="1">
        <f t="array" ref="J130">_xlfn.IFS(K130&lt;30,"Young Adult",K130&lt;50,"Adult",K130&gt;=50,"Senior")</f>
        <v>Young Adult</v>
      </c>
      <c r="K130" s="4">
        <v>21</v>
      </c>
      <c r="L130" s="4" t="s">
        <v>20</v>
      </c>
      <c r="M130" s="4">
        <v>2</v>
      </c>
      <c r="N130" s="16">
        <v>300</v>
      </c>
      <c r="O130" s="17">
        <f>M130*N130</f>
        <v>600</v>
      </c>
      <c r="P130" s="13">
        <f>$O130*$U$4</f>
        <v>9</v>
      </c>
      <c r="Q130" s="13">
        <f>$O130*$U$5</f>
        <v>12</v>
      </c>
      <c r="R130" s="13" cm="1">
        <f t="array" ref="R130">_xlfn.IFS(B130=2023,O130*$U$4,B130=2024,O130*$U$5)</f>
        <v>9</v>
      </c>
    </row>
    <row r="131" spans="1:18">
      <c r="A131" s="2">
        <v>130</v>
      </c>
      <c r="B131" s="4">
        <f t="shared" ref="B131:B194" si="11">YEAR(G131)</f>
        <v>2023</v>
      </c>
      <c r="C131" s="4">
        <f t="shared" ref="C131:C194" si="12">MONTH(G131)</f>
        <v>3</v>
      </c>
      <c r="D131" s="4">
        <f t="shared" ref="D131:D194" si="13">DAY(G131)</f>
        <v>12</v>
      </c>
      <c r="E131" s="4" t="str">
        <f t="shared" ref="E131:E194" si="14">TEXT(G131,"dddd")</f>
        <v>Sunday</v>
      </c>
      <c r="F131" s="4" t="str">
        <f t="shared" ref="F131:F194" si="15">TEXT(G131,"mmmm")</f>
        <v>March</v>
      </c>
      <c r="G131" s="3">
        <v>44997</v>
      </c>
      <c r="H131" s="4" t="s">
        <v>162</v>
      </c>
      <c r="I131" s="4" t="s">
        <v>22</v>
      </c>
      <c r="J131" s="4" t="str" cm="1">
        <f t="array" ref="J131">_xlfn.IFS(K131&lt;30,"Young Adult",K131&lt;50,"Adult",K131&gt;=50,"Senior")</f>
        <v>Senior</v>
      </c>
      <c r="K131" s="4">
        <v>57</v>
      </c>
      <c r="L131" s="4" t="s">
        <v>23</v>
      </c>
      <c r="M131" s="4">
        <v>1</v>
      </c>
      <c r="N131" s="16">
        <v>500</v>
      </c>
      <c r="O131" s="17">
        <f>M131*N131</f>
        <v>500</v>
      </c>
      <c r="P131" s="13">
        <f>$O131*$U$4</f>
        <v>7.5</v>
      </c>
      <c r="Q131" s="13">
        <f>$O131*$U$5</f>
        <v>10</v>
      </c>
      <c r="R131" s="13" cm="1">
        <f t="array" ref="R131">_xlfn.IFS(B131=2023,O131*$U$4,B131=2024,O131*$U$5)</f>
        <v>7.5</v>
      </c>
    </row>
    <row r="132" spans="1:18">
      <c r="A132" s="2">
        <v>131</v>
      </c>
      <c r="B132" s="4">
        <f t="shared" si="11"/>
        <v>2023</v>
      </c>
      <c r="C132" s="4">
        <f t="shared" si="12"/>
        <v>9</v>
      </c>
      <c r="D132" s="4">
        <f t="shared" si="13"/>
        <v>18</v>
      </c>
      <c r="E132" s="4" t="str">
        <f t="shared" si="14"/>
        <v>Monday</v>
      </c>
      <c r="F132" s="4" t="str">
        <f t="shared" si="15"/>
        <v>September</v>
      </c>
      <c r="G132" s="3">
        <v>45187</v>
      </c>
      <c r="H132" s="4" t="s">
        <v>163</v>
      </c>
      <c r="I132" s="4" t="s">
        <v>22</v>
      </c>
      <c r="J132" s="4" t="str" cm="1">
        <f t="array" ref="J132">_xlfn.IFS(K132&lt;30,"Young Adult",K132&lt;50,"Adult",K132&gt;=50,"Senior")</f>
        <v>Young Adult</v>
      </c>
      <c r="K132" s="4">
        <v>21</v>
      </c>
      <c r="L132" s="4" t="s">
        <v>20</v>
      </c>
      <c r="M132" s="4">
        <v>2</v>
      </c>
      <c r="N132" s="16">
        <v>300</v>
      </c>
      <c r="O132" s="17">
        <f>M132*N132</f>
        <v>600</v>
      </c>
      <c r="P132" s="13">
        <f>$O132*$U$4</f>
        <v>9</v>
      </c>
      <c r="Q132" s="13">
        <f>$O132*$U$5</f>
        <v>12</v>
      </c>
      <c r="R132" s="13" cm="1">
        <f t="array" ref="R132">_xlfn.IFS(B132=2023,O132*$U$4,B132=2024,O132*$U$5)</f>
        <v>9</v>
      </c>
    </row>
    <row r="133" spans="1:18">
      <c r="A133" s="2">
        <v>132</v>
      </c>
      <c r="B133" s="4">
        <f t="shared" si="11"/>
        <v>2023</v>
      </c>
      <c r="C133" s="4">
        <f t="shared" si="12"/>
        <v>9</v>
      </c>
      <c r="D133" s="4">
        <f t="shared" si="13"/>
        <v>10</v>
      </c>
      <c r="E133" s="4" t="str">
        <f t="shared" si="14"/>
        <v>Sunday</v>
      </c>
      <c r="F133" s="4" t="str">
        <f t="shared" si="15"/>
        <v>September</v>
      </c>
      <c r="G133" s="3">
        <v>45179</v>
      </c>
      <c r="H133" s="4" t="s">
        <v>164</v>
      </c>
      <c r="I133" s="4" t="s">
        <v>19</v>
      </c>
      <c r="J133" s="4" t="str" cm="1">
        <f t="array" ref="J133">_xlfn.IFS(K133&lt;30,"Young Adult",K133&lt;50,"Adult",K133&gt;=50,"Senior")</f>
        <v>Adult</v>
      </c>
      <c r="K133" s="4">
        <v>42</v>
      </c>
      <c r="L133" s="4" t="s">
        <v>26</v>
      </c>
      <c r="M133" s="4">
        <v>4</v>
      </c>
      <c r="N133" s="16">
        <v>50</v>
      </c>
      <c r="O133" s="17">
        <f>M133*N133</f>
        <v>200</v>
      </c>
      <c r="P133" s="13">
        <f>$O133*$U$4</f>
        <v>3</v>
      </c>
      <c r="Q133" s="13">
        <f>$O133*$U$5</f>
        <v>4</v>
      </c>
      <c r="R133" s="13" cm="1">
        <f t="array" ref="R133">_xlfn.IFS(B133=2023,O133*$U$4,B133=2024,O133*$U$5)</f>
        <v>3</v>
      </c>
    </row>
    <row r="134" spans="1:18">
      <c r="A134" s="2">
        <v>133</v>
      </c>
      <c r="B134" s="4">
        <f t="shared" si="11"/>
        <v>2023</v>
      </c>
      <c r="C134" s="4">
        <f t="shared" si="12"/>
        <v>2</v>
      </c>
      <c r="D134" s="4">
        <f t="shared" si="13"/>
        <v>16</v>
      </c>
      <c r="E134" s="4" t="str">
        <f t="shared" si="14"/>
        <v>Thursday</v>
      </c>
      <c r="F134" s="4" t="str">
        <f t="shared" si="15"/>
        <v>February</v>
      </c>
      <c r="G134" s="3">
        <v>44973</v>
      </c>
      <c r="H134" s="4" t="s">
        <v>165</v>
      </c>
      <c r="I134" s="4" t="s">
        <v>19</v>
      </c>
      <c r="J134" s="4" t="str" cm="1">
        <f t="array" ref="J134">_xlfn.IFS(K134&lt;30,"Young Adult",K134&lt;50,"Adult",K134&gt;=50,"Senior")</f>
        <v>Young Adult</v>
      </c>
      <c r="K134" s="4">
        <v>20</v>
      </c>
      <c r="L134" s="4" t="s">
        <v>26</v>
      </c>
      <c r="M134" s="4">
        <v>3</v>
      </c>
      <c r="N134" s="16">
        <v>300</v>
      </c>
      <c r="O134" s="17">
        <f>M134*N134</f>
        <v>900</v>
      </c>
      <c r="P134" s="13">
        <f>$O134*$U$4</f>
        <v>13.5</v>
      </c>
      <c r="Q134" s="13">
        <f>$O134*$U$5</f>
        <v>18</v>
      </c>
      <c r="R134" s="13" cm="1">
        <f t="array" ref="R134">_xlfn.IFS(B134=2023,O134*$U$4,B134=2024,O134*$U$5)</f>
        <v>13.5</v>
      </c>
    </row>
    <row r="135" spans="1:18">
      <c r="A135" s="2">
        <v>134</v>
      </c>
      <c r="B135" s="4">
        <f t="shared" si="11"/>
        <v>2023</v>
      </c>
      <c r="C135" s="4">
        <f t="shared" si="12"/>
        <v>1</v>
      </c>
      <c r="D135" s="4">
        <f t="shared" si="13"/>
        <v>25</v>
      </c>
      <c r="E135" s="4" t="str">
        <f t="shared" si="14"/>
        <v>Wednesday</v>
      </c>
      <c r="F135" s="4" t="str">
        <f t="shared" si="15"/>
        <v>January</v>
      </c>
      <c r="G135" s="3">
        <v>44951</v>
      </c>
      <c r="H135" s="4" t="s">
        <v>166</v>
      </c>
      <c r="I135" s="4" t="s">
        <v>19</v>
      </c>
      <c r="J135" s="4" t="str" cm="1">
        <f t="array" ref="J135">_xlfn.IFS(K135&lt;30,"Young Adult",K135&lt;50,"Adult",K135&gt;=50,"Senior")</f>
        <v>Adult</v>
      </c>
      <c r="K135" s="4">
        <v>49</v>
      </c>
      <c r="L135" s="4" t="s">
        <v>26</v>
      </c>
      <c r="M135" s="4">
        <v>1</v>
      </c>
      <c r="N135" s="16">
        <v>50</v>
      </c>
      <c r="O135" s="17">
        <f>M135*N135</f>
        <v>50</v>
      </c>
      <c r="P135" s="13">
        <f>$O135*$U$4</f>
        <v>0.75</v>
      </c>
      <c r="Q135" s="13">
        <f>$O135*$U$5</f>
        <v>1</v>
      </c>
      <c r="R135" s="13" cm="1">
        <f t="array" ref="R135">_xlfn.IFS(B135=2023,O135*$U$4,B135=2024,O135*$U$5)</f>
        <v>0.75</v>
      </c>
    </row>
    <row r="136" spans="1:18">
      <c r="A136" s="2">
        <v>135</v>
      </c>
      <c r="B136" s="4">
        <f t="shared" si="11"/>
        <v>2023</v>
      </c>
      <c r="C136" s="4">
        <f t="shared" si="12"/>
        <v>2</v>
      </c>
      <c r="D136" s="4">
        <f t="shared" si="13"/>
        <v>26</v>
      </c>
      <c r="E136" s="4" t="str">
        <f t="shared" si="14"/>
        <v>Sunday</v>
      </c>
      <c r="F136" s="4" t="str">
        <f t="shared" si="15"/>
        <v>February</v>
      </c>
      <c r="G136" s="3">
        <v>44983</v>
      </c>
      <c r="H136" s="4" t="s">
        <v>167</v>
      </c>
      <c r="I136" s="4" t="s">
        <v>19</v>
      </c>
      <c r="J136" s="4" t="str" cm="1">
        <f t="array" ref="J136">_xlfn.IFS(K136&lt;30,"Young Adult",K136&lt;50,"Adult",K136&gt;=50,"Senior")</f>
        <v>Young Adult</v>
      </c>
      <c r="K136" s="4">
        <v>20</v>
      </c>
      <c r="L136" s="4" t="s">
        <v>23</v>
      </c>
      <c r="M136" s="4">
        <v>2</v>
      </c>
      <c r="N136" s="16">
        <v>25</v>
      </c>
      <c r="O136" s="17">
        <f>M136*N136</f>
        <v>50</v>
      </c>
      <c r="P136" s="13">
        <f>$O136*$U$4</f>
        <v>0.75</v>
      </c>
      <c r="Q136" s="13">
        <f>$O136*$U$5</f>
        <v>1</v>
      </c>
      <c r="R136" s="13" cm="1">
        <f t="array" ref="R136">_xlfn.IFS(B136=2023,O136*$U$4,B136=2024,O136*$U$5)</f>
        <v>0.75</v>
      </c>
    </row>
    <row r="137" spans="1:18">
      <c r="A137" s="2">
        <v>136</v>
      </c>
      <c r="B137" s="4">
        <f t="shared" si="11"/>
        <v>2023</v>
      </c>
      <c r="C137" s="4">
        <f t="shared" si="12"/>
        <v>3</v>
      </c>
      <c r="D137" s="4">
        <f t="shared" si="13"/>
        <v>20</v>
      </c>
      <c r="E137" s="4" t="str">
        <f t="shared" si="14"/>
        <v>Monday</v>
      </c>
      <c r="F137" s="4" t="str">
        <f t="shared" si="15"/>
        <v>March</v>
      </c>
      <c r="G137" s="3">
        <v>45005</v>
      </c>
      <c r="H137" s="4" t="s">
        <v>168</v>
      </c>
      <c r="I137" s="4" t="s">
        <v>19</v>
      </c>
      <c r="J137" s="4" t="str" cm="1">
        <f t="array" ref="J137">_xlfn.IFS(K137&lt;30,"Young Adult",K137&lt;50,"Adult",K137&gt;=50,"Senior")</f>
        <v>Adult</v>
      </c>
      <c r="K137" s="4">
        <v>44</v>
      </c>
      <c r="L137" s="4" t="s">
        <v>26</v>
      </c>
      <c r="M137" s="4">
        <v>2</v>
      </c>
      <c r="N137" s="16">
        <v>300</v>
      </c>
      <c r="O137" s="17">
        <f>M137*N137</f>
        <v>600</v>
      </c>
      <c r="P137" s="13">
        <f>$O137*$U$4</f>
        <v>9</v>
      </c>
      <c r="Q137" s="13">
        <f>$O137*$U$5</f>
        <v>12</v>
      </c>
      <c r="R137" s="13" cm="1">
        <f t="array" ref="R137">_xlfn.IFS(B137=2023,O137*$U$4,B137=2024,O137*$U$5)</f>
        <v>9</v>
      </c>
    </row>
    <row r="138" spans="1:18">
      <c r="A138" s="2">
        <v>137</v>
      </c>
      <c r="B138" s="4">
        <f t="shared" si="11"/>
        <v>2023</v>
      </c>
      <c r="C138" s="4">
        <f t="shared" si="12"/>
        <v>11</v>
      </c>
      <c r="D138" s="4">
        <f t="shared" si="13"/>
        <v>18</v>
      </c>
      <c r="E138" s="4" t="str">
        <f t="shared" si="14"/>
        <v>Saturday</v>
      </c>
      <c r="F138" s="4" t="str">
        <f t="shared" si="15"/>
        <v>November</v>
      </c>
      <c r="G138" s="3">
        <v>45248</v>
      </c>
      <c r="H138" s="4" t="s">
        <v>169</v>
      </c>
      <c r="I138" s="4" t="s">
        <v>19</v>
      </c>
      <c r="J138" s="4" t="str" cm="1">
        <f t="array" ref="J138">_xlfn.IFS(K138&lt;30,"Young Adult",K138&lt;50,"Adult",K138&gt;=50,"Senior")</f>
        <v>Adult</v>
      </c>
      <c r="K138" s="4">
        <v>46</v>
      </c>
      <c r="L138" s="4" t="s">
        <v>20</v>
      </c>
      <c r="M138" s="4">
        <v>2</v>
      </c>
      <c r="N138" s="16">
        <v>500</v>
      </c>
      <c r="O138" s="17">
        <f>M138*N138</f>
        <v>1000</v>
      </c>
      <c r="P138" s="13">
        <f>$O138*$U$4</f>
        <v>15</v>
      </c>
      <c r="Q138" s="13">
        <f>$O138*$U$5</f>
        <v>20</v>
      </c>
      <c r="R138" s="13" cm="1">
        <f t="array" ref="R138">_xlfn.IFS(B138=2023,O138*$U$4,B138=2024,O138*$U$5)</f>
        <v>15</v>
      </c>
    </row>
    <row r="139" spans="1:18">
      <c r="A139" s="2">
        <v>138</v>
      </c>
      <c r="B139" s="4">
        <f t="shared" si="11"/>
        <v>2023</v>
      </c>
      <c r="C139" s="4">
        <f t="shared" si="12"/>
        <v>3</v>
      </c>
      <c r="D139" s="4">
        <f t="shared" si="13"/>
        <v>23</v>
      </c>
      <c r="E139" s="4" t="str">
        <f t="shared" si="14"/>
        <v>Thursday</v>
      </c>
      <c r="F139" s="4" t="str">
        <f t="shared" si="15"/>
        <v>March</v>
      </c>
      <c r="G139" s="3">
        <v>45008</v>
      </c>
      <c r="H139" s="4" t="s">
        <v>170</v>
      </c>
      <c r="I139" s="4" t="s">
        <v>19</v>
      </c>
      <c r="J139" s="4" t="str" cm="1">
        <f t="array" ref="J139">_xlfn.IFS(K139&lt;30,"Young Adult",K139&lt;50,"Adult",K139&gt;=50,"Senior")</f>
        <v>Adult</v>
      </c>
      <c r="K139" s="4">
        <v>49</v>
      </c>
      <c r="L139" s="4" t="s">
        <v>23</v>
      </c>
      <c r="M139" s="4">
        <v>4</v>
      </c>
      <c r="N139" s="16">
        <v>50</v>
      </c>
      <c r="O139" s="17">
        <f>M139*N139</f>
        <v>200</v>
      </c>
      <c r="P139" s="13">
        <f>$O139*$U$4</f>
        <v>3</v>
      </c>
      <c r="Q139" s="13">
        <f>$O139*$U$5</f>
        <v>4</v>
      </c>
      <c r="R139" s="13" cm="1">
        <f t="array" ref="R139">_xlfn.IFS(B139=2023,O139*$U$4,B139=2024,O139*$U$5)</f>
        <v>3</v>
      </c>
    </row>
    <row r="140" spans="1:18">
      <c r="A140" s="2">
        <v>139</v>
      </c>
      <c r="B140" s="4">
        <f t="shared" si="11"/>
        <v>2023</v>
      </c>
      <c r="C140" s="4">
        <f t="shared" si="12"/>
        <v>12</v>
      </c>
      <c r="D140" s="4">
        <f t="shared" si="13"/>
        <v>15</v>
      </c>
      <c r="E140" s="4" t="str">
        <f t="shared" si="14"/>
        <v>Friday</v>
      </c>
      <c r="F140" s="4" t="str">
        <f t="shared" si="15"/>
        <v>December</v>
      </c>
      <c r="G140" s="3">
        <v>45275</v>
      </c>
      <c r="H140" s="4" t="s">
        <v>171</v>
      </c>
      <c r="I140" s="4" t="s">
        <v>19</v>
      </c>
      <c r="J140" s="4" t="str" cm="1">
        <f t="array" ref="J140">_xlfn.IFS(K140&lt;30,"Young Adult",K140&lt;50,"Adult",K140&gt;=50,"Senior")</f>
        <v>Adult</v>
      </c>
      <c r="K140" s="4">
        <v>36</v>
      </c>
      <c r="L140" s="4" t="s">
        <v>20</v>
      </c>
      <c r="M140" s="4">
        <v>4</v>
      </c>
      <c r="N140" s="16">
        <v>500</v>
      </c>
      <c r="O140" s="17">
        <f>M140*N140</f>
        <v>2000</v>
      </c>
      <c r="P140" s="13">
        <f>$O140*$U$4</f>
        <v>30</v>
      </c>
      <c r="Q140" s="13">
        <f>$O140*$U$5</f>
        <v>40</v>
      </c>
      <c r="R140" s="13" cm="1">
        <f t="array" ref="R140">_xlfn.IFS(B140=2023,O140*$U$4,B140=2024,O140*$U$5)</f>
        <v>30</v>
      </c>
    </row>
    <row r="141" spans="1:18">
      <c r="A141" s="2">
        <v>140</v>
      </c>
      <c r="B141" s="4">
        <f t="shared" si="11"/>
        <v>2023</v>
      </c>
      <c r="C141" s="4">
        <f t="shared" si="12"/>
        <v>8</v>
      </c>
      <c r="D141" s="4">
        <f t="shared" si="13"/>
        <v>5</v>
      </c>
      <c r="E141" s="4" t="str">
        <f t="shared" si="14"/>
        <v>Saturday</v>
      </c>
      <c r="F141" s="4" t="str">
        <f t="shared" si="15"/>
        <v>August</v>
      </c>
      <c r="G141" s="3">
        <v>45143</v>
      </c>
      <c r="H141" s="4" t="s">
        <v>172</v>
      </c>
      <c r="I141" s="4" t="s">
        <v>19</v>
      </c>
      <c r="J141" s="4" t="str" cm="1">
        <f t="array" ref="J141">_xlfn.IFS(K141&lt;30,"Young Adult",K141&lt;50,"Adult",K141&gt;=50,"Senior")</f>
        <v>Adult</v>
      </c>
      <c r="K141" s="4">
        <v>38</v>
      </c>
      <c r="L141" s="4" t="s">
        <v>26</v>
      </c>
      <c r="M141" s="4">
        <v>1</v>
      </c>
      <c r="N141" s="16">
        <v>30</v>
      </c>
      <c r="O141" s="17">
        <f>M141*N141</f>
        <v>30</v>
      </c>
      <c r="P141" s="13">
        <f>$O141*$U$4</f>
        <v>0.44999999999999996</v>
      </c>
      <c r="Q141" s="13">
        <f>$O141*$U$5</f>
        <v>0.6</v>
      </c>
      <c r="R141" s="13" cm="1">
        <f t="array" ref="R141">_xlfn.IFS(B141=2023,O141*$U$4,B141=2024,O141*$U$5)</f>
        <v>0.44999999999999996</v>
      </c>
    </row>
    <row r="142" spans="1:18">
      <c r="A142" s="2">
        <v>141</v>
      </c>
      <c r="B142" s="4">
        <f t="shared" si="11"/>
        <v>2023</v>
      </c>
      <c r="C142" s="4">
        <f t="shared" si="12"/>
        <v>11</v>
      </c>
      <c r="D142" s="4">
        <f t="shared" si="13"/>
        <v>2</v>
      </c>
      <c r="E142" s="4" t="str">
        <f t="shared" si="14"/>
        <v>Thursday</v>
      </c>
      <c r="F142" s="4" t="str">
        <f t="shared" si="15"/>
        <v>November</v>
      </c>
      <c r="G142" s="3">
        <v>45232</v>
      </c>
      <c r="H142" s="4" t="s">
        <v>173</v>
      </c>
      <c r="I142" s="4" t="s">
        <v>22</v>
      </c>
      <c r="J142" s="4" t="str" cm="1">
        <f t="array" ref="J142">_xlfn.IFS(K142&lt;30,"Young Adult",K142&lt;50,"Adult",K142&gt;=50,"Senior")</f>
        <v>Young Adult</v>
      </c>
      <c r="K142" s="4">
        <v>22</v>
      </c>
      <c r="L142" s="4" t="s">
        <v>26</v>
      </c>
      <c r="M142" s="4">
        <v>1</v>
      </c>
      <c r="N142" s="16">
        <v>50</v>
      </c>
      <c r="O142" s="17">
        <f>M142*N142</f>
        <v>50</v>
      </c>
      <c r="P142" s="13">
        <f>$O142*$U$4</f>
        <v>0.75</v>
      </c>
      <c r="Q142" s="13">
        <f>$O142*$U$5</f>
        <v>1</v>
      </c>
      <c r="R142" s="13" cm="1">
        <f t="array" ref="R142">_xlfn.IFS(B142=2023,O142*$U$4,B142=2024,O142*$U$5)</f>
        <v>0.75</v>
      </c>
    </row>
    <row r="143" spans="1:18">
      <c r="A143" s="2">
        <v>142</v>
      </c>
      <c r="B143" s="4">
        <f t="shared" si="11"/>
        <v>2023</v>
      </c>
      <c r="C143" s="4">
        <f t="shared" si="12"/>
        <v>2</v>
      </c>
      <c r="D143" s="4">
        <f t="shared" si="13"/>
        <v>2</v>
      </c>
      <c r="E143" s="4" t="str">
        <f t="shared" si="14"/>
        <v>Thursday</v>
      </c>
      <c r="F143" s="4" t="str">
        <f t="shared" si="15"/>
        <v>February</v>
      </c>
      <c r="G143" s="3">
        <v>44959</v>
      </c>
      <c r="H143" s="4" t="s">
        <v>174</v>
      </c>
      <c r="I143" s="4" t="s">
        <v>19</v>
      </c>
      <c r="J143" s="4" t="str" cm="1">
        <f t="array" ref="J143">_xlfn.IFS(K143&lt;30,"Young Adult",K143&lt;50,"Adult",K143&gt;=50,"Senior")</f>
        <v>Adult</v>
      </c>
      <c r="K143" s="4">
        <v>35</v>
      </c>
      <c r="L143" s="4" t="s">
        <v>26</v>
      </c>
      <c r="M143" s="4">
        <v>4</v>
      </c>
      <c r="N143" s="16">
        <v>300</v>
      </c>
      <c r="O143" s="17">
        <f>M143*N143</f>
        <v>1200</v>
      </c>
      <c r="P143" s="13">
        <f>$O143*$U$4</f>
        <v>18</v>
      </c>
      <c r="Q143" s="13">
        <f>$O143*$U$5</f>
        <v>24</v>
      </c>
      <c r="R143" s="13" cm="1">
        <f t="array" ref="R143">_xlfn.IFS(B143=2023,O143*$U$4,B143=2024,O143*$U$5)</f>
        <v>18</v>
      </c>
    </row>
    <row r="144" spans="1:18">
      <c r="A144" s="2">
        <v>143</v>
      </c>
      <c r="B144" s="4">
        <f t="shared" si="11"/>
        <v>2023</v>
      </c>
      <c r="C144" s="4">
        <f t="shared" si="12"/>
        <v>7</v>
      </c>
      <c r="D144" s="4">
        <f t="shared" si="13"/>
        <v>17</v>
      </c>
      <c r="E144" s="4" t="str">
        <f t="shared" si="14"/>
        <v>Monday</v>
      </c>
      <c r="F144" s="4" t="str">
        <f t="shared" si="15"/>
        <v>July</v>
      </c>
      <c r="G144" s="3">
        <v>45124</v>
      </c>
      <c r="H144" s="4" t="s">
        <v>175</v>
      </c>
      <c r="I144" s="4" t="s">
        <v>22</v>
      </c>
      <c r="J144" s="4" t="str" cm="1">
        <f t="array" ref="J144">_xlfn.IFS(K144&lt;30,"Young Adult",K144&lt;50,"Adult",K144&gt;=50,"Senior")</f>
        <v>Adult</v>
      </c>
      <c r="K144" s="4">
        <v>45</v>
      </c>
      <c r="L144" s="4" t="s">
        <v>23</v>
      </c>
      <c r="M144" s="4">
        <v>1</v>
      </c>
      <c r="N144" s="16">
        <v>50</v>
      </c>
      <c r="O144" s="17">
        <f>M144*N144</f>
        <v>50</v>
      </c>
      <c r="P144" s="13">
        <f>$O144*$U$4</f>
        <v>0.75</v>
      </c>
      <c r="Q144" s="13">
        <f>$O144*$U$5</f>
        <v>1</v>
      </c>
      <c r="R144" s="13" cm="1">
        <f t="array" ref="R144">_xlfn.IFS(B144=2023,O144*$U$4,B144=2024,O144*$U$5)</f>
        <v>0.75</v>
      </c>
    </row>
    <row r="145" spans="1:18">
      <c r="A145" s="2">
        <v>144</v>
      </c>
      <c r="B145" s="4">
        <f t="shared" si="11"/>
        <v>2023</v>
      </c>
      <c r="C145" s="4">
        <f t="shared" si="12"/>
        <v>7</v>
      </c>
      <c r="D145" s="4">
        <f t="shared" si="13"/>
        <v>15</v>
      </c>
      <c r="E145" s="4" t="str">
        <f t="shared" si="14"/>
        <v>Saturday</v>
      </c>
      <c r="F145" s="4" t="str">
        <f t="shared" si="15"/>
        <v>July</v>
      </c>
      <c r="G145" s="3">
        <v>45122</v>
      </c>
      <c r="H145" s="4" t="s">
        <v>176</v>
      </c>
      <c r="I145" s="4" t="s">
        <v>22</v>
      </c>
      <c r="J145" s="4" t="str" cm="1">
        <f t="array" ref="J145">_xlfn.IFS(K145&lt;30,"Young Adult",K145&lt;50,"Adult",K145&gt;=50,"Senior")</f>
        <v>Senior</v>
      </c>
      <c r="K145" s="4">
        <v>59</v>
      </c>
      <c r="L145" s="4" t="s">
        <v>20</v>
      </c>
      <c r="M145" s="4">
        <v>3</v>
      </c>
      <c r="N145" s="16">
        <v>500</v>
      </c>
      <c r="O145" s="17">
        <f>M145*N145</f>
        <v>1500</v>
      </c>
      <c r="P145" s="13">
        <f>$O145*$U$4</f>
        <v>22.5</v>
      </c>
      <c r="Q145" s="13">
        <f>$O145*$U$5</f>
        <v>30</v>
      </c>
      <c r="R145" s="13" cm="1">
        <f t="array" ref="R145">_xlfn.IFS(B145=2023,O145*$U$4,B145=2024,O145*$U$5)</f>
        <v>22.5</v>
      </c>
    </row>
    <row r="146" spans="1:18">
      <c r="A146" s="2">
        <v>145</v>
      </c>
      <c r="B146" s="4">
        <f t="shared" si="11"/>
        <v>2023</v>
      </c>
      <c r="C146" s="4">
        <f t="shared" si="12"/>
        <v>11</v>
      </c>
      <c r="D146" s="4">
        <f t="shared" si="13"/>
        <v>2</v>
      </c>
      <c r="E146" s="4" t="str">
        <f t="shared" si="14"/>
        <v>Thursday</v>
      </c>
      <c r="F146" s="4" t="str">
        <f t="shared" si="15"/>
        <v>November</v>
      </c>
      <c r="G146" s="3">
        <v>45232</v>
      </c>
      <c r="H146" s="4" t="s">
        <v>177</v>
      </c>
      <c r="I146" s="4" t="s">
        <v>22</v>
      </c>
      <c r="J146" s="4" t="str" cm="1">
        <f t="array" ref="J146">_xlfn.IFS(K146&lt;30,"Young Adult",K146&lt;50,"Adult",K146&gt;=50,"Senior")</f>
        <v>Adult</v>
      </c>
      <c r="K146" s="4">
        <v>39</v>
      </c>
      <c r="L146" s="4" t="s">
        <v>23</v>
      </c>
      <c r="M146" s="4">
        <v>3</v>
      </c>
      <c r="N146" s="16">
        <v>25</v>
      </c>
      <c r="O146" s="17">
        <f>M146*N146</f>
        <v>75</v>
      </c>
      <c r="P146" s="13">
        <f>$O146*$U$4</f>
        <v>1.125</v>
      </c>
      <c r="Q146" s="13">
        <f>$O146*$U$5</f>
        <v>1.5</v>
      </c>
      <c r="R146" s="13" cm="1">
        <f t="array" ref="R146">_xlfn.IFS(B146=2023,O146*$U$4,B146=2024,O146*$U$5)</f>
        <v>1.125</v>
      </c>
    </row>
    <row r="147" spans="1:18">
      <c r="A147" s="2">
        <v>146</v>
      </c>
      <c r="B147" s="4">
        <f t="shared" si="11"/>
        <v>2023</v>
      </c>
      <c r="C147" s="4">
        <f t="shared" si="12"/>
        <v>8</v>
      </c>
      <c r="D147" s="4">
        <f t="shared" si="13"/>
        <v>28</v>
      </c>
      <c r="E147" s="4" t="str">
        <f t="shared" si="14"/>
        <v>Monday</v>
      </c>
      <c r="F147" s="4" t="str">
        <f t="shared" si="15"/>
        <v>August</v>
      </c>
      <c r="G147" s="3">
        <v>45166</v>
      </c>
      <c r="H147" s="4" t="s">
        <v>178</v>
      </c>
      <c r="I147" s="4" t="s">
        <v>19</v>
      </c>
      <c r="J147" s="4" t="str" cm="1">
        <f t="array" ref="J147">_xlfn.IFS(K147&lt;30,"Young Adult",K147&lt;50,"Adult",K147&gt;=50,"Senior")</f>
        <v>Adult</v>
      </c>
      <c r="K147" s="4">
        <v>38</v>
      </c>
      <c r="L147" s="4" t="s">
        <v>23</v>
      </c>
      <c r="M147" s="4">
        <v>4</v>
      </c>
      <c r="N147" s="16">
        <v>50</v>
      </c>
      <c r="O147" s="17">
        <f>M147*N147</f>
        <v>200</v>
      </c>
      <c r="P147" s="13">
        <f>$O147*$U$4</f>
        <v>3</v>
      </c>
      <c r="Q147" s="13">
        <f>$O147*$U$5</f>
        <v>4</v>
      </c>
      <c r="R147" s="13" cm="1">
        <f t="array" ref="R147">_xlfn.IFS(B147=2023,O147*$U$4,B147=2024,O147*$U$5)</f>
        <v>3</v>
      </c>
    </row>
    <row r="148" spans="1:18">
      <c r="A148" s="2">
        <v>147</v>
      </c>
      <c r="B148" s="4">
        <f t="shared" si="11"/>
        <v>2023</v>
      </c>
      <c r="C148" s="4">
        <f t="shared" si="12"/>
        <v>9</v>
      </c>
      <c r="D148" s="4">
        <f t="shared" si="13"/>
        <v>28</v>
      </c>
      <c r="E148" s="4" t="str">
        <f t="shared" si="14"/>
        <v>Thursday</v>
      </c>
      <c r="F148" s="4" t="str">
        <f t="shared" si="15"/>
        <v>September</v>
      </c>
      <c r="G148" s="3">
        <v>45197</v>
      </c>
      <c r="H148" s="4" t="s">
        <v>179</v>
      </c>
      <c r="I148" s="4" t="s">
        <v>19</v>
      </c>
      <c r="J148" s="4" t="str" cm="1">
        <f t="array" ref="J148">_xlfn.IFS(K148&lt;30,"Young Adult",K148&lt;50,"Adult",K148&gt;=50,"Senior")</f>
        <v>Young Adult</v>
      </c>
      <c r="K148" s="4">
        <v>23</v>
      </c>
      <c r="L148" s="4" t="s">
        <v>26</v>
      </c>
      <c r="M148" s="4">
        <v>1</v>
      </c>
      <c r="N148" s="16">
        <v>300</v>
      </c>
      <c r="O148" s="17">
        <f>M148*N148</f>
        <v>300</v>
      </c>
      <c r="P148" s="13">
        <f>$O148*$U$4</f>
        <v>4.5</v>
      </c>
      <c r="Q148" s="13">
        <f>$O148*$U$5</f>
        <v>6</v>
      </c>
      <c r="R148" s="13" cm="1">
        <f t="array" ref="R148">_xlfn.IFS(B148=2023,O148*$U$4,B148=2024,O148*$U$5)</f>
        <v>4.5</v>
      </c>
    </row>
    <row r="149" spans="1:18">
      <c r="A149" s="2">
        <v>148</v>
      </c>
      <c r="B149" s="4">
        <f t="shared" si="11"/>
        <v>2023</v>
      </c>
      <c r="C149" s="4">
        <f t="shared" si="12"/>
        <v>5</v>
      </c>
      <c r="D149" s="4">
        <f t="shared" si="13"/>
        <v>9</v>
      </c>
      <c r="E149" s="4" t="str">
        <f t="shared" si="14"/>
        <v>Tuesday</v>
      </c>
      <c r="F149" s="4" t="str">
        <f t="shared" si="15"/>
        <v>May</v>
      </c>
      <c r="G149" s="3">
        <v>45055</v>
      </c>
      <c r="H149" s="4" t="s">
        <v>180</v>
      </c>
      <c r="I149" s="4" t="s">
        <v>19</v>
      </c>
      <c r="J149" s="4" t="str" cm="1">
        <f t="array" ref="J149">_xlfn.IFS(K149&lt;30,"Young Adult",K149&lt;50,"Adult",K149&gt;=50,"Senior")</f>
        <v>Young Adult</v>
      </c>
      <c r="K149" s="4">
        <v>18</v>
      </c>
      <c r="L149" s="4" t="s">
        <v>23</v>
      </c>
      <c r="M149" s="4">
        <v>2</v>
      </c>
      <c r="N149" s="16">
        <v>30</v>
      </c>
      <c r="O149" s="17">
        <f>M149*N149</f>
        <v>60</v>
      </c>
      <c r="P149" s="13">
        <f>$O149*$U$4</f>
        <v>0.89999999999999991</v>
      </c>
      <c r="Q149" s="13">
        <f>$O149*$U$5</f>
        <v>1.2</v>
      </c>
      <c r="R149" s="13" cm="1">
        <f t="array" ref="R149">_xlfn.IFS(B149=2023,O149*$U$4,B149=2024,O149*$U$5)</f>
        <v>0.89999999999999991</v>
      </c>
    </row>
    <row r="150" spans="1:18">
      <c r="A150" s="2">
        <v>149</v>
      </c>
      <c r="B150" s="4">
        <f t="shared" si="11"/>
        <v>2023</v>
      </c>
      <c r="C150" s="4">
        <f t="shared" si="12"/>
        <v>10</v>
      </c>
      <c r="D150" s="4">
        <f t="shared" si="13"/>
        <v>11</v>
      </c>
      <c r="E150" s="4" t="str">
        <f t="shared" si="14"/>
        <v>Wednesday</v>
      </c>
      <c r="F150" s="4" t="str">
        <f t="shared" si="15"/>
        <v>October</v>
      </c>
      <c r="G150" s="3">
        <v>45210</v>
      </c>
      <c r="H150" s="4" t="s">
        <v>181</v>
      </c>
      <c r="I150" s="4" t="s">
        <v>19</v>
      </c>
      <c r="J150" s="4" t="str" cm="1">
        <f t="array" ref="J150">_xlfn.IFS(K150&lt;30,"Young Adult",K150&lt;50,"Adult",K150&gt;=50,"Senior")</f>
        <v>Young Adult</v>
      </c>
      <c r="K150" s="4">
        <v>22</v>
      </c>
      <c r="L150" s="4" t="s">
        <v>23</v>
      </c>
      <c r="M150" s="4">
        <v>3</v>
      </c>
      <c r="N150" s="16">
        <v>25</v>
      </c>
      <c r="O150" s="17">
        <f>M150*N150</f>
        <v>75</v>
      </c>
      <c r="P150" s="13">
        <f>$O150*$U$4</f>
        <v>1.125</v>
      </c>
      <c r="Q150" s="13">
        <f>$O150*$U$5</f>
        <v>1.5</v>
      </c>
      <c r="R150" s="13" cm="1">
        <f t="array" ref="R150">_xlfn.IFS(B150=2023,O150*$U$4,B150=2024,O150*$U$5)</f>
        <v>1.125</v>
      </c>
    </row>
    <row r="151" spans="1:18">
      <c r="A151" s="2">
        <v>150</v>
      </c>
      <c r="B151" s="4">
        <f t="shared" si="11"/>
        <v>2023</v>
      </c>
      <c r="C151" s="4">
        <f t="shared" si="12"/>
        <v>1</v>
      </c>
      <c r="D151" s="4">
        <f t="shared" si="13"/>
        <v>6</v>
      </c>
      <c r="E151" s="4" t="str">
        <f t="shared" si="14"/>
        <v>Friday</v>
      </c>
      <c r="F151" s="4" t="str">
        <f t="shared" si="15"/>
        <v>January</v>
      </c>
      <c r="G151" s="3">
        <v>44932</v>
      </c>
      <c r="H151" s="4" t="s">
        <v>182</v>
      </c>
      <c r="I151" s="4" t="s">
        <v>22</v>
      </c>
      <c r="J151" s="4" t="str" cm="1">
        <f t="array" ref="J151">_xlfn.IFS(K151&lt;30,"Young Adult",K151&lt;50,"Adult",K151&gt;=50,"Senior")</f>
        <v>Senior</v>
      </c>
      <c r="K151" s="4">
        <v>58</v>
      </c>
      <c r="L151" s="4" t="s">
        <v>26</v>
      </c>
      <c r="M151" s="4">
        <v>4</v>
      </c>
      <c r="N151" s="16">
        <v>30</v>
      </c>
      <c r="O151" s="17">
        <f>M151*N151</f>
        <v>120</v>
      </c>
      <c r="P151" s="13">
        <f>$O151*$U$4</f>
        <v>1.7999999999999998</v>
      </c>
      <c r="Q151" s="13">
        <f>$O151*$U$5</f>
        <v>2.4</v>
      </c>
      <c r="R151" s="13" cm="1">
        <f t="array" ref="R151">_xlfn.IFS(B151=2023,O151*$U$4,B151=2024,O151*$U$5)</f>
        <v>1.7999999999999998</v>
      </c>
    </row>
    <row r="152" spans="1:18">
      <c r="A152" s="2">
        <v>151</v>
      </c>
      <c r="B152" s="4">
        <f t="shared" si="11"/>
        <v>2023</v>
      </c>
      <c r="C152" s="4">
        <f t="shared" si="12"/>
        <v>12</v>
      </c>
      <c r="D152" s="4">
        <f t="shared" si="13"/>
        <v>15</v>
      </c>
      <c r="E152" s="4" t="str">
        <f t="shared" si="14"/>
        <v>Friday</v>
      </c>
      <c r="F152" s="4" t="str">
        <f t="shared" si="15"/>
        <v>December</v>
      </c>
      <c r="G152" s="3">
        <v>45275</v>
      </c>
      <c r="H152" s="4" t="s">
        <v>183</v>
      </c>
      <c r="I152" s="4" t="s">
        <v>19</v>
      </c>
      <c r="J152" s="4" t="str" cm="1">
        <f t="array" ref="J152">_xlfn.IFS(K152&lt;30,"Young Adult",K152&lt;50,"Adult",K152&gt;=50,"Senior")</f>
        <v>Young Adult</v>
      </c>
      <c r="K152" s="4">
        <v>29</v>
      </c>
      <c r="L152" s="4" t="s">
        <v>23</v>
      </c>
      <c r="M152" s="4">
        <v>1</v>
      </c>
      <c r="N152" s="16">
        <v>50</v>
      </c>
      <c r="O152" s="17">
        <f>M152*N152</f>
        <v>50</v>
      </c>
      <c r="P152" s="13">
        <f>$O152*$U$4</f>
        <v>0.75</v>
      </c>
      <c r="Q152" s="13">
        <f>$O152*$U$5</f>
        <v>1</v>
      </c>
      <c r="R152" s="13" cm="1">
        <f t="array" ref="R152">_xlfn.IFS(B152=2023,O152*$U$4,B152=2024,O152*$U$5)</f>
        <v>0.75</v>
      </c>
    </row>
    <row r="153" spans="1:18">
      <c r="A153" s="2">
        <v>152</v>
      </c>
      <c r="B153" s="4">
        <f t="shared" si="11"/>
        <v>2023</v>
      </c>
      <c r="C153" s="4">
        <f t="shared" si="12"/>
        <v>2</v>
      </c>
      <c r="D153" s="4">
        <f t="shared" si="13"/>
        <v>28</v>
      </c>
      <c r="E153" s="4" t="str">
        <f t="shared" si="14"/>
        <v>Tuesday</v>
      </c>
      <c r="F153" s="4" t="str">
        <f t="shared" si="15"/>
        <v>February</v>
      </c>
      <c r="G153" s="3">
        <v>44985</v>
      </c>
      <c r="H153" s="4" t="s">
        <v>184</v>
      </c>
      <c r="I153" s="4" t="s">
        <v>19</v>
      </c>
      <c r="J153" s="4" t="str" cm="1">
        <f t="array" ref="J153">_xlfn.IFS(K153&lt;30,"Young Adult",K153&lt;50,"Adult",K153&gt;=50,"Senior")</f>
        <v>Adult</v>
      </c>
      <c r="K153" s="4">
        <v>43</v>
      </c>
      <c r="L153" s="4" t="s">
        <v>26</v>
      </c>
      <c r="M153" s="4">
        <v>4</v>
      </c>
      <c r="N153" s="16">
        <v>500</v>
      </c>
      <c r="O153" s="17">
        <f>M153*N153</f>
        <v>2000</v>
      </c>
      <c r="P153" s="13">
        <f>$O153*$U$4</f>
        <v>30</v>
      </c>
      <c r="Q153" s="13">
        <f>$O153*$U$5</f>
        <v>40</v>
      </c>
      <c r="R153" s="13" cm="1">
        <f t="array" ref="R153">_xlfn.IFS(B153=2023,O153*$U$4,B153=2024,O153*$U$5)</f>
        <v>30</v>
      </c>
    </row>
    <row r="154" spans="1:18">
      <c r="A154" s="2">
        <v>153</v>
      </c>
      <c r="B154" s="4">
        <f t="shared" si="11"/>
        <v>2023</v>
      </c>
      <c r="C154" s="4">
        <f t="shared" si="12"/>
        <v>12</v>
      </c>
      <c r="D154" s="4">
        <f t="shared" si="13"/>
        <v>16</v>
      </c>
      <c r="E154" s="4" t="str">
        <f t="shared" si="14"/>
        <v>Saturday</v>
      </c>
      <c r="F154" s="4" t="str">
        <f t="shared" si="15"/>
        <v>December</v>
      </c>
      <c r="G154" s="3">
        <v>45276</v>
      </c>
      <c r="H154" s="4" t="s">
        <v>185</v>
      </c>
      <c r="I154" s="4" t="s">
        <v>19</v>
      </c>
      <c r="J154" s="4" t="str" cm="1">
        <f t="array" ref="J154">_xlfn.IFS(K154&lt;30,"Young Adult",K154&lt;50,"Adult",K154&gt;=50,"Senior")</f>
        <v>Senior</v>
      </c>
      <c r="K154" s="4">
        <v>63</v>
      </c>
      <c r="L154" s="4" t="s">
        <v>26</v>
      </c>
      <c r="M154" s="4">
        <v>2</v>
      </c>
      <c r="N154" s="16">
        <v>500</v>
      </c>
      <c r="O154" s="17">
        <f>M154*N154</f>
        <v>1000</v>
      </c>
      <c r="P154" s="13">
        <f>$O154*$U$4</f>
        <v>15</v>
      </c>
      <c r="Q154" s="13">
        <f>$O154*$U$5</f>
        <v>20</v>
      </c>
      <c r="R154" s="13" cm="1">
        <f t="array" ref="R154">_xlfn.IFS(B154=2023,O154*$U$4,B154=2024,O154*$U$5)</f>
        <v>15</v>
      </c>
    </row>
    <row r="155" spans="1:18">
      <c r="A155" s="2">
        <v>154</v>
      </c>
      <c r="B155" s="4">
        <f t="shared" si="11"/>
        <v>2023</v>
      </c>
      <c r="C155" s="4">
        <f t="shared" si="12"/>
        <v>10</v>
      </c>
      <c r="D155" s="4">
        <f t="shared" si="13"/>
        <v>2</v>
      </c>
      <c r="E155" s="4" t="str">
        <f t="shared" si="14"/>
        <v>Monday</v>
      </c>
      <c r="F155" s="4" t="str">
        <f t="shared" si="15"/>
        <v>October</v>
      </c>
      <c r="G155" s="3">
        <v>45201</v>
      </c>
      <c r="H155" s="4" t="s">
        <v>186</v>
      </c>
      <c r="I155" s="4" t="s">
        <v>19</v>
      </c>
      <c r="J155" s="4" t="str" cm="1">
        <f t="array" ref="J155">_xlfn.IFS(K155&lt;30,"Young Adult",K155&lt;50,"Adult",K155&gt;=50,"Senior")</f>
        <v>Senior</v>
      </c>
      <c r="K155" s="4">
        <v>51</v>
      </c>
      <c r="L155" s="4" t="s">
        <v>26</v>
      </c>
      <c r="M155" s="4">
        <v>3</v>
      </c>
      <c r="N155" s="16">
        <v>300</v>
      </c>
      <c r="O155" s="17">
        <f>M155*N155</f>
        <v>900</v>
      </c>
      <c r="P155" s="13">
        <f>$O155*$U$4</f>
        <v>13.5</v>
      </c>
      <c r="Q155" s="13">
        <f>$O155*$U$5</f>
        <v>18</v>
      </c>
      <c r="R155" s="13" cm="1">
        <f t="array" ref="R155">_xlfn.IFS(B155=2023,O155*$U$4,B155=2024,O155*$U$5)</f>
        <v>13.5</v>
      </c>
    </row>
    <row r="156" spans="1:18">
      <c r="A156" s="2">
        <v>155</v>
      </c>
      <c r="B156" s="4">
        <f t="shared" si="11"/>
        <v>2023</v>
      </c>
      <c r="C156" s="4">
        <f t="shared" si="12"/>
        <v>5</v>
      </c>
      <c r="D156" s="4">
        <f t="shared" si="13"/>
        <v>17</v>
      </c>
      <c r="E156" s="4" t="str">
        <f t="shared" si="14"/>
        <v>Wednesday</v>
      </c>
      <c r="F156" s="4" t="str">
        <f t="shared" si="15"/>
        <v>May</v>
      </c>
      <c r="G156" s="3">
        <v>45063</v>
      </c>
      <c r="H156" s="4" t="s">
        <v>187</v>
      </c>
      <c r="I156" s="4" t="s">
        <v>19</v>
      </c>
      <c r="J156" s="4" t="str" cm="1">
        <f t="array" ref="J156">_xlfn.IFS(K156&lt;30,"Young Adult",K156&lt;50,"Adult",K156&gt;=50,"Senior")</f>
        <v>Adult</v>
      </c>
      <c r="K156" s="4">
        <v>31</v>
      </c>
      <c r="L156" s="4" t="s">
        <v>26</v>
      </c>
      <c r="M156" s="4">
        <v>4</v>
      </c>
      <c r="N156" s="16">
        <v>500</v>
      </c>
      <c r="O156" s="17">
        <f>M156*N156</f>
        <v>2000</v>
      </c>
      <c r="P156" s="13">
        <f>$O156*$U$4</f>
        <v>30</v>
      </c>
      <c r="Q156" s="13">
        <f>$O156*$U$5</f>
        <v>40</v>
      </c>
      <c r="R156" s="13" cm="1">
        <f t="array" ref="R156">_xlfn.IFS(B156=2023,O156*$U$4,B156=2024,O156*$U$5)</f>
        <v>30</v>
      </c>
    </row>
    <row r="157" spans="1:18">
      <c r="A157" s="2">
        <v>156</v>
      </c>
      <c r="B157" s="4">
        <f t="shared" si="11"/>
        <v>2023</v>
      </c>
      <c r="C157" s="4">
        <f t="shared" si="12"/>
        <v>11</v>
      </c>
      <c r="D157" s="4">
        <f t="shared" si="13"/>
        <v>25</v>
      </c>
      <c r="E157" s="4" t="str">
        <f t="shared" si="14"/>
        <v>Saturday</v>
      </c>
      <c r="F157" s="4" t="str">
        <f t="shared" si="15"/>
        <v>November</v>
      </c>
      <c r="G157" s="3">
        <v>45255</v>
      </c>
      <c r="H157" s="4" t="s">
        <v>188</v>
      </c>
      <c r="I157" s="4" t="s">
        <v>22</v>
      </c>
      <c r="J157" s="4" t="str" cm="1">
        <f t="array" ref="J157">_xlfn.IFS(K157&lt;30,"Young Adult",K157&lt;50,"Adult",K157&gt;=50,"Senior")</f>
        <v>Adult</v>
      </c>
      <c r="K157" s="4">
        <v>43</v>
      </c>
      <c r="L157" s="4" t="s">
        <v>23</v>
      </c>
      <c r="M157" s="4">
        <v>4</v>
      </c>
      <c r="N157" s="16">
        <v>25</v>
      </c>
      <c r="O157" s="17">
        <f>M157*N157</f>
        <v>100</v>
      </c>
      <c r="P157" s="13">
        <f>$O157*$U$4</f>
        <v>1.5</v>
      </c>
      <c r="Q157" s="13">
        <f>$O157*$U$5</f>
        <v>2</v>
      </c>
      <c r="R157" s="13" cm="1">
        <f t="array" ref="R157">_xlfn.IFS(B157=2023,O157*$U$4,B157=2024,O157*$U$5)</f>
        <v>1.5</v>
      </c>
    </row>
    <row r="158" spans="1:18">
      <c r="A158" s="2">
        <v>157</v>
      </c>
      <c r="B158" s="4">
        <f t="shared" si="11"/>
        <v>2023</v>
      </c>
      <c r="C158" s="4">
        <f t="shared" si="12"/>
        <v>6</v>
      </c>
      <c r="D158" s="4">
        <f t="shared" si="13"/>
        <v>24</v>
      </c>
      <c r="E158" s="4" t="str">
        <f t="shared" si="14"/>
        <v>Saturday</v>
      </c>
      <c r="F158" s="4" t="str">
        <f t="shared" si="15"/>
        <v>June</v>
      </c>
      <c r="G158" s="3">
        <v>45101</v>
      </c>
      <c r="H158" s="4" t="s">
        <v>189</v>
      </c>
      <c r="I158" s="4" t="s">
        <v>19</v>
      </c>
      <c r="J158" s="4" t="str" cm="1">
        <f t="array" ref="J158">_xlfn.IFS(K158&lt;30,"Young Adult",K158&lt;50,"Adult",K158&gt;=50,"Senior")</f>
        <v>Senior</v>
      </c>
      <c r="K158" s="4">
        <v>62</v>
      </c>
      <c r="L158" s="4" t="s">
        <v>26</v>
      </c>
      <c r="M158" s="4">
        <v>4</v>
      </c>
      <c r="N158" s="16">
        <v>500</v>
      </c>
      <c r="O158" s="17">
        <f>M158*N158</f>
        <v>2000</v>
      </c>
      <c r="P158" s="13">
        <f>$O158*$U$4</f>
        <v>30</v>
      </c>
      <c r="Q158" s="13">
        <f>$O158*$U$5</f>
        <v>40</v>
      </c>
      <c r="R158" s="13" cm="1">
        <f t="array" ref="R158">_xlfn.IFS(B158=2023,O158*$U$4,B158=2024,O158*$U$5)</f>
        <v>30</v>
      </c>
    </row>
    <row r="159" spans="1:18">
      <c r="A159" s="2">
        <v>158</v>
      </c>
      <c r="B159" s="4">
        <f t="shared" si="11"/>
        <v>2023</v>
      </c>
      <c r="C159" s="4">
        <f t="shared" si="12"/>
        <v>2</v>
      </c>
      <c r="D159" s="4">
        <f t="shared" si="13"/>
        <v>27</v>
      </c>
      <c r="E159" s="4" t="str">
        <f t="shared" si="14"/>
        <v>Monday</v>
      </c>
      <c r="F159" s="4" t="str">
        <f t="shared" si="15"/>
        <v>February</v>
      </c>
      <c r="G159" s="3">
        <v>44984</v>
      </c>
      <c r="H159" s="4" t="s">
        <v>190</v>
      </c>
      <c r="I159" s="4" t="s">
        <v>22</v>
      </c>
      <c r="J159" s="4" t="str" cm="1">
        <f t="array" ref="J159">_xlfn.IFS(K159&lt;30,"Young Adult",K159&lt;50,"Adult",K159&gt;=50,"Senior")</f>
        <v>Adult</v>
      </c>
      <c r="K159" s="4">
        <v>44</v>
      </c>
      <c r="L159" s="4" t="s">
        <v>26</v>
      </c>
      <c r="M159" s="4">
        <v>2</v>
      </c>
      <c r="N159" s="16">
        <v>300</v>
      </c>
      <c r="O159" s="17">
        <f>M159*N159</f>
        <v>600</v>
      </c>
      <c r="P159" s="13">
        <f>$O159*$U$4</f>
        <v>9</v>
      </c>
      <c r="Q159" s="13">
        <f>$O159*$U$5</f>
        <v>12</v>
      </c>
      <c r="R159" s="13" cm="1">
        <f t="array" ref="R159">_xlfn.IFS(B159=2023,O159*$U$4,B159=2024,O159*$U$5)</f>
        <v>9</v>
      </c>
    </row>
    <row r="160" spans="1:18">
      <c r="A160" s="2">
        <v>159</v>
      </c>
      <c r="B160" s="4">
        <f t="shared" si="11"/>
        <v>2023</v>
      </c>
      <c r="C160" s="4">
        <f t="shared" si="12"/>
        <v>5</v>
      </c>
      <c r="D160" s="4">
        <f t="shared" si="13"/>
        <v>31</v>
      </c>
      <c r="E160" s="4" t="str">
        <f t="shared" si="14"/>
        <v>Wednesday</v>
      </c>
      <c r="F160" s="4" t="str">
        <f t="shared" si="15"/>
        <v>May</v>
      </c>
      <c r="G160" s="3">
        <v>45077</v>
      </c>
      <c r="H160" s="4" t="s">
        <v>191</v>
      </c>
      <c r="I160" s="4" t="s">
        <v>19</v>
      </c>
      <c r="J160" s="4" t="str" cm="1">
        <f t="array" ref="J160">_xlfn.IFS(K160&lt;30,"Young Adult",K160&lt;50,"Adult",K160&gt;=50,"Senior")</f>
        <v>Young Adult</v>
      </c>
      <c r="K160" s="4">
        <v>26</v>
      </c>
      <c r="L160" s="4" t="s">
        <v>23</v>
      </c>
      <c r="M160" s="4">
        <v>4</v>
      </c>
      <c r="N160" s="16">
        <v>50</v>
      </c>
      <c r="O160" s="17">
        <f>M160*N160</f>
        <v>200</v>
      </c>
      <c r="P160" s="13">
        <f>$O160*$U$4</f>
        <v>3</v>
      </c>
      <c r="Q160" s="13">
        <f>$O160*$U$5</f>
        <v>4</v>
      </c>
      <c r="R160" s="13" cm="1">
        <f t="array" ref="R160">_xlfn.IFS(B160=2023,O160*$U$4,B160=2024,O160*$U$5)</f>
        <v>3</v>
      </c>
    </row>
    <row r="161" spans="1:18">
      <c r="A161" s="2">
        <v>160</v>
      </c>
      <c r="B161" s="4">
        <f t="shared" si="11"/>
        <v>2023</v>
      </c>
      <c r="C161" s="4">
        <f t="shared" si="12"/>
        <v>8</v>
      </c>
      <c r="D161" s="4">
        <f t="shared" si="13"/>
        <v>11</v>
      </c>
      <c r="E161" s="4" t="str">
        <f t="shared" si="14"/>
        <v>Friday</v>
      </c>
      <c r="F161" s="4" t="str">
        <f t="shared" si="15"/>
        <v>August</v>
      </c>
      <c r="G161" s="3">
        <v>45149</v>
      </c>
      <c r="H161" s="4" t="s">
        <v>192</v>
      </c>
      <c r="I161" s="4" t="s">
        <v>22</v>
      </c>
      <c r="J161" s="4" t="str" cm="1">
        <f t="array" ref="J161">_xlfn.IFS(K161&lt;30,"Young Adult",K161&lt;50,"Adult",K161&gt;=50,"Senior")</f>
        <v>Adult</v>
      </c>
      <c r="K161" s="4">
        <v>43</v>
      </c>
      <c r="L161" s="4" t="s">
        <v>23</v>
      </c>
      <c r="M161" s="4">
        <v>2</v>
      </c>
      <c r="N161" s="16">
        <v>50</v>
      </c>
      <c r="O161" s="17">
        <f>M161*N161</f>
        <v>100</v>
      </c>
      <c r="P161" s="13">
        <f>$O161*$U$4</f>
        <v>1.5</v>
      </c>
      <c r="Q161" s="13">
        <f>$O161*$U$5</f>
        <v>2</v>
      </c>
      <c r="R161" s="13" cm="1">
        <f t="array" ref="R161">_xlfn.IFS(B161=2023,O161*$U$4,B161=2024,O161*$U$5)</f>
        <v>1.5</v>
      </c>
    </row>
    <row r="162" spans="1:18">
      <c r="A162" s="2">
        <v>161</v>
      </c>
      <c r="B162" s="4">
        <f t="shared" si="11"/>
        <v>2023</v>
      </c>
      <c r="C162" s="4">
        <f t="shared" si="12"/>
        <v>3</v>
      </c>
      <c r="D162" s="4">
        <f t="shared" si="13"/>
        <v>22</v>
      </c>
      <c r="E162" s="4" t="str">
        <f t="shared" si="14"/>
        <v>Wednesday</v>
      </c>
      <c r="F162" s="4" t="str">
        <f t="shared" si="15"/>
        <v>March</v>
      </c>
      <c r="G162" s="3">
        <v>45007</v>
      </c>
      <c r="H162" s="4" t="s">
        <v>193</v>
      </c>
      <c r="I162" s="4" t="s">
        <v>19</v>
      </c>
      <c r="J162" s="4" t="str" cm="1">
        <f t="array" ref="J162">_xlfn.IFS(K162&lt;30,"Young Adult",K162&lt;50,"Adult",K162&gt;=50,"Senior")</f>
        <v>Senior</v>
      </c>
      <c r="K162" s="4">
        <v>64</v>
      </c>
      <c r="L162" s="4" t="s">
        <v>20</v>
      </c>
      <c r="M162" s="4">
        <v>2</v>
      </c>
      <c r="N162" s="16">
        <v>500</v>
      </c>
      <c r="O162" s="17">
        <f>M162*N162</f>
        <v>1000</v>
      </c>
      <c r="P162" s="13">
        <f>$O162*$U$4</f>
        <v>15</v>
      </c>
      <c r="Q162" s="13">
        <f>$O162*$U$5</f>
        <v>20</v>
      </c>
      <c r="R162" s="13" cm="1">
        <f t="array" ref="R162">_xlfn.IFS(B162=2023,O162*$U$4,B162=2024,O162*$U$5)</f>
        <v>15</v>
      </c>
    </row>
    <row r="163" spans="1:18">
      <c r="A163" s="2">
        <v>162</v>
      </c>
      <c r="B163" s="4">
        <f t="shared" si="11"/>
        <v>2023</v>
      </c>
      <c r="C163" s="4">
        <f t="shared" si="12"/>
        <v>8</v>
      </c>
      <c r="D163" s="4">
        <f t="shared" si="13"/>
        <v>21</v>
      </c>
      <c r="E163" s="4" t="str">
        <f t="shared" si="14"/>
        <v>Monday</v>
      </c>
      <c r="F163" s="4" t="str">
        <f t="shared" si="15"/>
        <v>August</v>
      </c>
      <c r="G163" s="3">
        <v>45159</v>
      </c>
      <c r="H163" s="4" t="s">
        <v>194</v>
      </c>
      <c r="I163" s="4" t="s">
        <v>19</v>
      </c>
      <c r="J163" s="4" t="str" cm="1">
        <f t="array" ref="J163">_xlfn.IFS(K163&lt;30,"Young Adult",K163&lt;50,"Adult",K163&gt;=50,"Senior")</f>
        <v>Adult</v>
      </c>
      <c r="K163" s="4">
        <v>39</v>
      </c>
      <c r="L163" s="4" t="s">
        <v>23</v>
      </c>
      <c r="M163" s="4">
        <v>2</v>
      </c>
      <c r="N163" s="16">
        <v>30</v>
      </c>
      <c r="O163" s="17">
        <f>M163*N163</f>
        <v>60</v>
      </c>
      <c r="P163" s="13">
        <f>$O163*$U$4</f>
        <v>0.89999999999999991</v>
      </c>
      <c r="Q163" s="13">
        <f>$O163*$U$5</f>
        <v>1.2</v>
      </c>
      <c r="R163" s="13" cm="1">
        <f t="array" ref="R163">_xlfn.IFS(B163=2023,O163*$U$4,B163=2024,O163*$U$5)</f>
        <v>0.89999999999999991</v>
      </c>
    </row>
    <row r="164" spans="1:18">
      <c r="A164" s="2">
        <v>163</v>
      </c>
      <c r="B164" s="4">
        <f t="shared" si="11"/>
        <v>2023</v>
      </c>
      <c r="C164" s="4">
        <f t="shared" si="12"/>
        <v>1</v>
      </c>
      <c r="D164" s="4">
        <f t="shared" si="13"/>
        <v>2</v>
      </c>
      <c r="E164" s="4" t="str">
        <f t="shared" si="14"/>
        <v>Monday</v>
      </c>
      <c r="F164" s="4" t="str">
        <f t="shared" si="15"/>
        <v>January</v>
      </c>
      <c r="G164" s="3">
        <v>44928</v>
      </c>
      <c r="H164" s="4" t="s">
        <v>195</v>
      </c>
      <c r="I164" s="4" t="s">
        <v>22</v>
      </c>
      <c r="J164" s="4" t="str" cm="1">
        <f t="array" ref="J164">_xlfn.IFS(K164&lt;30,"Young Adult",K164&lt;50,"Adult",K164&gt;=50,"Senior")</f>
        <v>Senior</v>
      </c>
      <c r="K164" s="4">
        <v>64</v>
      </c>
      <c r="L164" s="4" t="s">
        <v>23</v>
      </c>
      <c r="M164" s="4">
        <v>3</v>
      </c>
      <c r="N164" s="16">
        <v>50</v>
      </c>
      <c r="O164" s="17">
        <f>M164*N164</f>
        <v>150</v>
      </c>
      <c r="P164" s="13">
        <f>$O164*$U$4</f>
        <v>2.25</v>
      </c>
      <c r="Q164" s="13">
        <f>$O164*$U$5</f>
        <v>3</v>
      </c>
      <c r="R164" s="13" cm="1">
        <f t="array" ref="R164">_xlfn.IFS(B164=2023,O164*$U$4,B164=2024,O164*$U$5)</f>
        <v>2.25</v>
      </c>
    </row>
    <row r="165" spans="1:18">
      <c r="A165" s="2">
        <v>164</v>
      </c>
      <c r="B165" s="4">
        <f t="shared" si="11"/>
        <v>2023</v>
      </c>
      <c r="C165" s="4">
        <f t="shared" si="12"/>
        <v>5</v>
      </c>
      <c r="D165" s="4">
        <f t="shared" si="13"/>
        <v>15</v>
      </c>
      <c r="E165" s="4" t="str">
        <f t="shared" si="14"/>
        <v>Monday</v>
      </c>
      <c r="F165" s="4" t="str">
        <f t="shared" si="15"/>
        <v>May</v>
      </c>
      <c r="G165" s="3">
        <v>45061</v>
      </c>
      <c r="H165" s="4" t="s">
        <v>196</v>
      </c>
      <c r="I165" s="4" t="s">
        <v>22</v>
      </c>
      <c r="J165" s="4" t="str" cm="1">
        <f t="array" ref="J165">_xlfn.IFS(K165&lt;30,"Young Adult",K165&lt;50,"Adult",K165&gt;=50,"Senior")</f>
        <v>Adult</v>
      </c>
      <c r="K165" s="4">
        <v>47</v>
      </c>
      <c r="L165" s="4" t="s">
        <v>20</v>
      </c>
      <c r="M165" s="4">
        <v>3</v>
      </c>
      <c r="N165" s="16">
        <v>500</v>
      </c>
      <c r="O165" s="17">
        <f>M165*N165</f>
        <v>1500</v>
      </c>
      <c r="P165" s="13">
        <f>$O165*$U$4</f>
        <v>22.5</v>
      </c>
      <c r="Q165" s="13">
        <f>$O165*$U$5</f>
        <v>30</v>
      </c>
      <c r="R165" s="13" cm="1">
        <f t="array" ref="R165">_xlfn.IFS(B165=2023,O165*$U$4,B165=2024,O165*$U$5)</f>
        <v>22.5</v>
      </c>
    </row>
    <row r="166" spans="1:18">
      <c r="A166" s="2">
        <v>165</v>
      </c>
      <c r="B166" s="4">
        <f t="shared" si="11"/>
        <v>2023</v>
      </c>
      <c r="C166" s="4">
        <f t="shared" si="12"/>
        <v>9</v>
      </c>
      <c r="D166" s="4">
        <f t="shared" si="13"/>
        <v>14</v>
      </c>
      <c r="E166" s="4" t="str">
        <f t="shared" si="14"/>
        <v>Thursday</v>
      </c>
      <c r="F166" s="4" t="str">
        <f t="shared" si="15"/>
        <v>September</v>
      </c>
      <c r="G166" s="3">
        <v>45183</v>
      </c>
      <c r="H166" s="4" t="s">
        <v>197</v>
      </c>
      <c r="I166" s="4" t="s">
        <v>22</v>
      </c>
      <c r="J166" s="4" t="str" cm="1">
        <f t="array" ref="J166">_xlfn.IFS(K166&lt;30,"Young Adult",K166&lt;50,"Adult",K166&gt;=50,"Senior")</f>
        <v>Senior</v>
      </c>
      <c r="K166" s="4">
        <v>60</v>
      </c>
      <c r="L166" s="4" t="s">
        <v>23</v>
      </c>
      <c r="M166" s="4">
        <v>4</v>
      </c>
      <c r="N166" s="16">
        <v>300</v>
      </c>
      <c r="O166" s="17">
        <f>M166*N166</f>
        <v>1200</v>
      </c>
      <c r="P166" s="13">
        <f>$O166*$U$4</f>
        <v>18</v>
      </c>
      <c r="Q166" s="13">
        <f>$O166*$U$5</f>
        <v>24</v>
      </c>
      <c r="R166" s="13" cm="1">
        <f t="array" ref="R166">_xlfn.IFS(B166=2023,O166*$U$4,B166=2024,O166*$U$5)</f>
        <v>18</v>
      </c>
    </row>
    <row r="167" spans="1:18">
      <c r="A167" s="2">
        <v>166</v>
      </c>
      <c r="B167" s="4">
        <f t="shared" si="11"/>
        <v>2023</v>
      </c>
      <c r="C167" s="4">
        <f t="shared" si="12"/>
        <v>4</v>
      </c>
      <c r="D167" s="4">
        <f t="shared" si="13"/>
        <v>2</v>
      </c>
      <c r="E167" s="4" t="str">
        <f t="shared" si="14"/>
        <v>Sunday</v>
      </c>
      <c r="F167" s="4" t="str">
        <f t="shared" si="15"/>
        <v>April</v>
      </c>
      <c r="G167" s="3">
        <v>45018</v>
      </c>
      <c r="H167" s="4" t="s">
        <v>198</v>
      </c>
      <c r="I167" s="4" t="s">
        <v>19</v>
      </c>
      <c r="J167" s="4" t="str" cm="1">
        <f t="array" ref="J167">_xlfn.IFS(K167&lt;30,"Young Adult",K167&lt;50,"Adult",K167&gt;=50,"Senior")</f>
        <v>Adult</v>
      </c>
      <c r="K167" s="4">
        <v>34</v>
      </c>
      <c r="L167" s="4" t="s">
        <v>23</v>
      </c>
      <c r="M167" s="4">
        <v>4</v>
      </c>
      <c r="N167" s="16">
        <v>500</v>
      </c>
      <c r="O167" s="17">
        <f>M167*N167</f>
        <v>2000</v>
      </c>
      <c r="P167" s="13">
        <f>$O167*$U$4</f>
        <v>30</v>
      </c>
      <c r="Q167" s="13">
        <f>$O167*$U$5</f>
        <v>40</v>
      </c>
      <c r="R167" s="13" cm="1">
        <f t="array" ref="R167">_xlfn.IFS(B167=2023,O167*$U$4,B167=2024,O167*$U$5)</f>
        <v>30</v>
      </c>
    </row>
    <row r="168" spans="1:18">
      <c r="A168" s="2">
        <v>167</v>
      </c>
      <c r="B168" s="4">
        <f t="shared" si="11"/>
        <v>2023</v>
      </c>
      <c r="C168" s="4">
        <f t="shared" si="12"/>
        <v>9</v>
      </c>
      <c r="D168" s="4">
        <f t="shared" si="13"/>
        <v>17</v>
      </c>
      <c r="E168" s="4" t="str">
        <f t="shared" si="14"/>
        <v>Sunday</v>
      </c>
      <c r="F168" s="4" t="str">
        <f t="shared" si="15"/>
        <v>September</v>
      </c>
      <c r="G168" s="3">
        <v>45186</v>
      </c>
      <c r="H168" s="4" t="s">
        <v>199</v>
      </c>
      <c r="I168" s="4" t="s">
        <v>22</v>
      </c>
      <c r="J168" s="4" t="str" cm="1">
        <f t="array" ref="J168">_xlfn.IFS(K168&lt;30,"Young Adult",K168&lt;50,"Adult",K168&gt;=50,"Senior")</f>
        <v>Adult</v>
      </c>
      <c r="K168" s="4">
        <v>43</v>
      </c>
      <c r="L168" s="4" t="s">
        <v>23</v>
      </c>
      <c r="M168" s="4">
        <v>3</v>
      </c>
      <c r="N168" s="16">
        <v>50</v>
      </c>
      <c r="O168" s="17">
        <f>M168*N168</f>
        <v>150</v>
      </c>
      <c r="P168" s="13">
        <f>$O168*$U$4</f>
        <v>2.25</v>
      </c>
      <c r="Q168" s="13">
        <f>$O168*$U$5</f>
        <v>3</v>
      </c>
      <c r="R168" s="13" cm="1">
        <f t="array" ref="R168">_xlfn.IFS(B168=2023,O168*$U$4,B168=2024,O168*$U$5)</f>
        <v>2.25</v>
      </c>
    </row>
    <row r="169" spans="1:18">
      <c r="A169" s="2">
        <v>168</v>
      </c>
      <c r="B169" s="4">
        <f t="shared" si="11"/>
        <v>2023</v>
      </c>
      <c r="C169" s="4">
        <f t="shared" si="12"/>
        <v>2</v>
      </c>
      <c r="D169" s="4">
        <f t="shared" si="13"/>
        <v>24</v>
      </c>
      <c r="E169" s="4" t="str">
        <f t="shared" si="14"/>
        <v>Friday</v>
      </c>
      <c r="F169" s="4" t="str">
        <f t="shared" si="15"/>
        <v>February</v>
      </c>
      <c r="G169" s="3">
        <v>44981</v>
      </c>
      <c r="H169" s="4" t="s">
        <v>200</v>
      </c>
      <c r="I169" s="4" t="s">
        <v>19</v>
      </c>
      <c r="J169" s="4" t="str" cm="1">
        <f t="array" ref="J169">_xlfn.IFS(K169&lt;30,"Young Adult",K169&lt;50,"Adult",K169&gt;=50,"Senior")</f>
        <v>Senior</v>
      </c>
      <c r="K169" s="4">
        <v>53</v>
      </c>
      <c r="L169" s="4" t="s">
        <v>23</v>
      </c>
      <c r="M169" s="4">
        <v>1</v>
      </c>
      <c r="N169" s="16">
        <v>300</v>
      </c>
      <c r="O169" s="17">
        <f>M169*N169</f>
        <v>300</v>
      </c>
      <c r="P169" s="13">
        <f>$O169*$U$4</f>
        <v>4.5</v>
      </c>
      <c r="Q169" s="13">
        <f>$O169*$U$5</f>
        <v>6</v>
      </c>
      <c r="R169" s="13" cm="1">
        <f t="array" ref="R169">_xlfn.IFS(B169=2023,O169*$U$4,B169=2024,O169*$U$5)</f>
        <v>4.5</v>
      </c>
    </row>
    <row r="170" spans="1:18">
      <c r="A170" s="2">
        <v>169</v>
      </c>
      <c r="B170" s="4">
        <f t="shared" si="11"/>
        <v>2023</v>
      </c>
      <c r="C170" s="4">
        <f t="shared" si="12"/>
        <v>11</v>
      </c>
      <c r="D170" s="4">
        <f t="shared" si="13"/>
        <v>17</v>
      </c>
      <c r="E170" s="4" t="str">
        <f t="shared" si="14"/>
        <v>Friday</v>
      </c>
      <c r="F170" s="4" t="str">
        <f t="shared" si="15"/>
        <v>November</v>
      </c>
      <c r="G170" s="3">
        <v>45247</v>
      </c>
      <c r="H170" s="4" t="s">
        <v>201</v>
      </c>
      <c r="I170" s="4" t="s">
        <v>19</v>
      </c>
      <c r="J170" s="4" t="str" cm="1">
        <f t="array" ref="J170">_xlfn.IFS(K170&lt;30,"Young Adult",K170&lt;50,"Adult",K170&gt;=50,"Senior")</f>
        <v>Young Adult</v>
      </c>
      <c r="K170" s="4">
        <v>18</v>
      </c>
      <c r="L170" s="4" t="s">
        <v>20</v>
      </c>
      <c r="M170" s="4">
        <v>3</v>
      </c>
      <c r="N170" s="16">
        <v>500</v>
      </c>
      <c r="O170" s="17">
        <f>M170*N170</f>
        <v>1500</v>
      </c>
      <c r="P170" s="13">
        <f>$O170*$U$4</f>
        <v>22.5</v>
      </c>
      <c r="Q170" s="13">
        <f>$O170*$U$5</f>
        <v>30</v>
      </c>
      <c r="R170" s="13" cm="1">
        <f t="array" ref="R170">_xlfn.IFS(B170=2023,O170*$U$4,B170=2024,O170*$U$5)</f>
        <v>22.5</v>
      </c>
    </row>
    <row r="171" spans="1:18">
      <c r="A171" s="2">
        <v>170</v>
      </c>
      <c r="B171" s="4">
        <f t="shared" si="11"/>
        <v>2023</v>
      </c>
      <c r="C171" s="4">
        <f t="shared" si="12"/>
        <v>6</v>
      </c>
      <c r="D171" s="4">
        <f t="shared" si="13"/>
        <v>2</v>
      </c>
      <c r="E171" s="4" t="str">
        <f t="shared" si="14"/>
        <v>Friday</v>
      </c>
      <c r="F171" s="4" t="str">
        <f t="shared" si="15"/>
        <v>June</v>
      </c>
      <c r="G171" s="3">
        <v>45079</v>
      </c>
      <c r="H171" s="4" t="s">
        <v>202</v>
      </c>
      <c r="I171" s="4" t="s">
        <v>22</v>
      </c>
      <c r="J171" s="4" t="str" cm="1">
        <f t="array" ref="J171">_xlfn.IFS(K171&lt;30,"Young Adult",K171&lt;50,"Adult",K171&gt;=50,"Senior")</f>
        <v>Young Adult</v>
      </c>
      <c r="K171" s="4">
        <v>25</v>
      </c>
      <c r="L171" s="4" t="s">
        <v>23</v>
      </c>
      <c r="M171" s="4">
        <v>2</v>
      </c>
      <c r="N171" s="16">
        <v>25</v>
      </c>
      <c r="O171" s="17">
        <f>M171*N171</f>
        <v>50</v>
      </c>
      <c r="P171" s="13">
        <f>$O171*$U$4</f>
        <v>0.75</v>
      </c>
      <c r="Q171" s="13">
        <f>$O171*$U$5</f>
        <v>1</v>
      </c>
      <c r="R171" s="13" cm="1">
        <f t="array" ref="R171">_xlfn.IFS(B171=2023,O171*$U$4,B171=2024,O171*$U$5)</f>
        <v>0.75</v>
      </c>
    </row>
    <row r="172" spans="1:18">
      <c r="A172" s="2">
        <v>171</v>
      </c>
      <c r="B172" s="4">
        <f t="shared" si="11"/>
        <v>2023</v>
      </c>
      <c r="C172" s="4">
        <f t="shared" si="12"/>
        <v>11</v>
      </c>
      <c r="D172" s="4">
        <f t="shared" si="13"/>
        <v>24</v>
      </c>
      <c r="E172" s="4" t="str">
        <f t="shared" si="14"/>
        <v>Friday</v>
      </c>
      <c r="F172" s="4" t="str">
        <f t="shared" si="15"/>
        <v>November</v>
      </c>
      <c r="G172" s="3">
        <v>45254</v>
      </c>
      <c r="H172" s="4" t="s">
        <v>203</v>
      </c>
      <c r="I172" s="4" t="s">
        <v>22</v>
      </c>
      <c r="J172" s="4" t="str" cm="1">
        <f t="array" ref="J172">_xlfn.IFS(K172&lt;30,"Young Adult",K172&lt;50,"Adult",K172&gt;=50,"Senior")</f>
        <v>Senior</v>
      </c>
      <c r="K172" s="4">
        <v>52</v>
      </c>
      <c r="L172" s="4" t="s">
        <v>23</v>
      </c>
      <c r="M172" s="4">
        <v>3</v>
      </c>
      <c r="N172" s="16">
        <v>300</v>
      </c>
      <c r="O172" s="17">
        <f>M172*N172</f>
        <v>900</v>
      </c>
      <c r="P172" s="13">
        <f>$O172*$U$4</f>
        <v>13.5</v>
      </c>
      <c r="Q172" s="13">
        <f>$O172*$U$5</f>
        <v>18</v>
      </c>
      <c r="R172" s="13" cm="1">
        <f t="array" ref="R172">_xlfn.IFS(B172=2023,O172*$U$4,B172=2024,O172*$U$5)</f>
        <v>13.5</v>
      </c>
    </row>
    <row r="173" spans="1:18">
      <c r="A173" s="2">
        <v>172</v>
      </c>
      <c r="B173" s="4">
        <f t="shared" si="11"/>
        <v>2023</v>
      </c>
      <c r="C173" s="4">
        <f t="shared" si="12"/>
        <v>9</v>
      </c>
      <c r="D173" s="4">
        <f t="shared" si="13"/>
        <v>17</v>
      </c>
      <c r="E173" s="4" t="str">
        <f t="shared" si="14"/>
        <v>Sunday</v>
      </c>
      <c r="F173" s="4" t="str">
        <f t="shared" si="15"/>
        <v>September</v>
      </c>
      <c r="G173" s="3">
        <v>45186</v>
      </c>
      <c r="H173" s="4" t="s">
        <v>204</v>
      </c>
      <c r="I173" s="4" t="s">
        <v>19</v>
      </c>
      <c r="J173" s="4" t="str" cm="1">
        <f t="array" ref="J173">_xlfn.IFS(K173&lt;30,"Young Adult",K173&lt;50,"Adult",K173&gt;=50,"Senior")</f>
        <v>Adult</v>
      </c>
      <c r="K173" s="4">
        <v>32</v>
      </c>
      <c r="L173" s="4" t="s">
        <v>20</v>
      </c>
      <c r="M173" s="4">
        <v>2</v>
      </c>
      <c r="N173" s="16">
        <v>25</v>
      </c>
      <c r="O173" s="17">
        <f>M173*N173</f>
        <v>50</v>
      </c>
      <c r="P173" s="13">
        <f>$O173*$U$4</f>
        <v>0.75</v>
      </c>
      <c r="Q173" s="13">
        <f>$O173*$U$5</f>
        <v>1</v>
      </c>
      <c r="R173" s="13" cm="1">
        <f t="array" ref="R173">_xlfn.IFS(B173=2023,O173*$U$4,B173=2024,O173*$U$5)</f>
        <v>0.75</v>
      </c>
    </row>
    <row r="174" spans="1:18">
      <c r="A174" s="2">
        <v>173</v>
      </c>
      <c r="B174" s="4">
        <f t="shared" si="11"/>
        <v>2023</v>
      </c>
      <c r="C174" s="4">
        <f t="shared" si="12"/>
        <v>11</v>
      </c>
      <c r="D174" s="4">
        <f t="shared" si="13"/>
        <v>8</v>
      </c>
      <c r="E174" s="4" t="str">
        <f t="shared" si="14"/>
        <v>Wednesday</v>
      </c>
      <c r="F174" s="4" t="str">
        <f t="shared" si="15"/>
        <v>November</v>
      </c>
      <c r="G174" s="3">
        <v>45238</v>
      </c>
      <c r="H174" s="4" t="s">
        <v>205</v>
      </c>
      <c r="I174" s="4" t="s">
        <v>19</v>
      </c>
      <c r="J174" s="4" t="str" cm="1">
        <f t="array" ref="J174">_xlfn.IFS(K174&lt;30,"Young Adult",K174&lt;50,"Adult",K174&gt;=50,"Senior")</f>
        <v>Senior</v>
      </c>
      <c r="K174" s="4">
        <v>64</v>
      </c>
      <c r="L174" s="4" t="s">
        <v>26</v>
      </c>
      <c r="M174" s="4">
        <v>4</v>
      </c>
      <c r="N174" s="16">
        <v>30</v>
      </c>
      <c r="O174" s="17">
        <f>M174*N174</f>
        <v>120</v>
      </c>
      <c r="P174" s="13">
        <f>$O174*$U$4</f>
        <v>1.7999999999999998</v>
      </c>
      <c r="Q174" s="13">
        <f>$O174*$U$5</f>
        <v>2.4</v>
      </c>
      <c r="R174" s="13" cm="1">
        <f t="array" ref="R174">_xlfn.IFS(B174=2023,O174*$U$4,B174=2024,O174*$U$5)</f>
        <v>1.7999999999999998</v>
      </c>
    </row>
    <row r="175" spans="1:18">
      <c r="A175" s="2">
        <v>174</v>
      </c>
      <c r="B175" s="4">
        <f t="shared" si="11"/>
        <v>2023</v>
      </c>
      <c r="C175" s="4">
        <f t="shared" si="12"/>
        <v>4</v>
      </c>
      <c r="D175" s="4">
        <f t="shared" si="13"/>
        <v>12</v>
      </c>
      <c r="E175" s="4" t="str">
        <f t="shared" si="14"/>
        <v>Wednesday</v>
      </c>
      <c r="F175" s="4" t="str">
        <f t="shared" si="15"/>
        <v>April</v>
      </c>
      <c r="G175" s="3">
        <v>45028</v>
      </c>
      <c r="H175" s="4" t="s">
        <v>206</v>
      </c>
      <c r="I175" s="4" t="s">
        <v>22</v>
      </c>
      <c r="J175" s="4" t="str" cm="1">
        <f t="array" ref="J175">_xlfn.IFS(K175&lt;30,"Young Adult",K175&lt;50,"Adult",K175&gt;=50,"Senior")</f>
        <v>Adult</v>
      </c>
      <c r="K175" s="4">
        <v>39</v>
      </c>
      <c r="L175" s="4" t="s">
        <v>20</v>
      </c>
      <c r="M175" s="4">
        <v>1</v>
      </c>
      <c r="N175" s="16">
        <v>300</v>
      </c>
      <c r="O175" s="17">
        <f>M175*N175</f>
        <v>300</v>
      </c>
      <c r="P175" s="13">
        <f>$O175*$U$4</f>
        <v>4.5</v>
      </c>
      <c r="Q175" s="13">
        <f>$O175*$U$5</f>
        <v>6</v>
      </c>
      <c r="R175" s="13" cm="1">
        <f t="array" ref="R175">_xlfn.IFS(B175=2023,O175*$U$4,B175=2024,O175*$U$5)</f>
        <v>4.5</v>
      </c>
    </row>
    <row r="176" spans="1:18">
      <c r="A176" s="2">
        <v>175</v>
      </c>
      <c r="B176" s="4">
        <f t="shared" si="11"/>
        <v>2023</v>
      </c>
      <c r="C176" s="4">
        <f t="shared" si="12"/>
        <v>3</v>
      </c>
      <c r="D176" s="4">
        <f t="shared" si="13"/>
        <v>20</v>
      </c>
      <c r="E176" s="4" t="str">
        <f t="shared" si="14"/>
        <v>Monday</v>
      </c>
      <c r="F176" s="4" t="str">
        <f t="shared" si="15"/>
        <v>March</v>
      </c>
      <c r="G176" s="3">
        <v>45005</v>
      </c>
      <c r="H176" s="4" t="s">
        <v>207</v>
      </c>
      <c r="I176" s="4" t="s">
        <v>22</v>
      </c>
      <c r="J176" s="4" t="str" cm="1">
        <f t="array" ref="J176">_xlfn.IFS(K176&lt;30,"Young Adult",K176&lt;50,"Adult",K176&gt;=50,"Senior")</f>
        <v>Adult</v>
      </c>
      <c r="K176" s="4">
        <v>31</v>
      </c>
      <c r="L176" s="4" t="s">
        <v>26</v>
      </c>
      <c r="M176" s="4">
        <v>4</v>
      </c>
      <c r="N176" s="16">
        <v>25</v>
      </c>
      <c r="O176" s="17">
        <f>M176*N176</f>
        <v>100</v>
      </c>
      <c r="P176" s="13">
        <f>$O176*$U$4</f>
        <v>1.5</v>
      </c>
      <c r="Q176" s="13">
        <f>$O176*$U$5</f>
        <v>2</v>
      </c>
      <c r="R176" s="13" cm="1">
        <f t="array" ref="R176">_xlfn.IFS(B176=2023,O176*$U$4,B176=2024,O176*$U$5)</f>
        <v>1.5</v>
      </c>
    </row>
    <row r="177" spans="1:18">
      <c r="A177" s="2">
        <v>176</v>
      </c>
      <c r="B177" s="4">
        <f t="shared" si="11"/>
        <v>2023</v>
      </c>
      <c r="C177" s="4">
        <f t="shared" si="12"/>
        <v>7</v>
      </c>
      <c r="D177" s="4">
        <f t="shared" si="13"/>
        <v>11</v>
      </c>
      <c r="E177" s="4" t="str">
        <f t="shared" si="14"/>
        <v>Tuesday</v>
      </c>
      <c r="F177" s="4" t="str">
        <f t="shared" si="15"/>
        <v>July</v>
      </c>
      <c r="G177" s="3">
        <v>45118</v>
      </c>
      <c r="H177" s="4" t="s">
        <v>208</v>
      </c>
      <c r="I177" s="4" t="s">
        <v>22</v>
      </c>
      <c r="J177" s="4" t="str" cm="1">
        <f t="array" ref="J177">_xlfn.IFS(K177&lt;30,"Young Adult",K177&lt;50,"Adult",K177&gt;=50,"Senior")</f>
        <v>Adult</v>
      </c>
      <c r="K177" s="4">
        <v>43</v>
      </c>
      <c r="L177" s="4" t="s">
        <v>20</v>
      </c>
      <c r="M177" s="4">
        <v>2</v>
      </c>
      <c r="N177" s="16">
        <v>50</v>
      </c>
      <c r="O177" s="17">
        <f>M177*N177</f>
        <v>100</v>
      </c>
      <c r="P177" s="13">
        <f>$O177*$U$4</f>
        <v>1.5</v>
      </c>
      <c r="Q177" s="13">
        <f>$O177*$U$5</f>
        <v>2</v>
      </c>
      <c r="R177" s="13" cm="1">
        <f t="array" ref="R177">_xlfn.IFS(B177=2023,O177*$U$4,B177=2024,O177*$U$5)</f>
        <v>1.5</v>
      </c>
    </row>
    <row r="178" spans="1:18">
      <c r="A178" s="2">
        <v>177</v>
      </c>
      <c r="B178" s="4">
        <f t="shared" si="11"/>
        <v>2023</v>
      </c>
      <c r="C178" s="4">
        <f t="shared" si="12"/>
        <v>3</v>
      </c>
      <c r="D178" s="4">
        <f t="shared" si="13"/>
        <v>24</v>
      </c>
      <c r="E178" s="4" t="str">
        <f t="shared" si="14"/>
        <v>Friday</v>
      </c>
      <c r="F178" s="4" t="str">
        <f t="shared" si="15"/>
        <v>March</v>
      </c>
      <c r="G178" s="3">
        <v>45009</v>
      </c>
      <c r="H178" s="4" t="s">
        <v>209</v>
      </c>
      <c r="I178" s="4" t="s">
        <v>19</v>
      </c>
      <c r="J178" s="4" t="str" cm="1">
        <f t="array" ref="J178">_xlfn.IFS(K178&lt;30,"Young Adult",K178&lt;50,"Adult",K178&gt;=50,"Senior")</f>
        <v>Adult</v>
      </c>
      <c r="K178" s="4">
        <v>45</v>
      </c>
      <c r="L178" s="4" t="s">
        <v>20</v>
      </c>
      <c r="M178" s="4">
        <v>2</v>
      </c>
      <c r="N178" s="16">
        <v>50</v>
      </c>
      <c r="O178" s="17">
        <f>M178*N178</f>
        <v>100</v>
      </c>
      <c r="P178" s="13">
        <f>$O178*$U$4</f>
        <v>1.5</v>
      </c>
      <c r="Q178" s="13">
        <f>$O178*$U$5</f>
        <v>2</v>
      </c>
      <c r="R178" s="13" cm="1">
        <f t="array" ref="R178">_xlfn.IFS(B178=2023,O178*$U$4,B178=2024,O178*$U$5)</f>
        <v>1.5</v>
      </c>
    </row>
    <row r="179" spans="1:18">
      <c r="A179" s="2">
        <v>178</v>
      </c>
      <c r="B179" s="4">
        <f t="shared" si="11"/>
        <v>2023</v>
      </c>
      <c r="C179" s="4">
        <f t="shared" si="12"/>
        <v>10</v>
      </c>
      <c r="D179" s="4">
        <f t="shared" si="13"/>
        <v>4</v>
      </c>
      <c r="E179" s="4" t="str">
        <f t="shared" si="14"/>
        <v>Wednesday</v>
      </c>
      <c r="F179" s="4" t="str">
        <f t="shared" si="15"/>
        <v>October</v>
      </c>
      <c r="G179" s="3">
        <v>45203</v>
      </c>
      <c r="H179" s="4" t="s">
        <v>210</v>
      </c>
      <c r="I179" s="4" t="s">
        <v>19</v>
      </c>
      <c r="J179" s="4" t="str" cm="1">
        <f t="array" ref="J179">_xlfn.IFS(K179&lt;30,"Young Adult",K179&lt;50,"Adult",K179&gt;=50,"Senior")</f>
        <v>Adult</v>
      </c>
      <c r="K179" s="4">
        <v>40</v>
      </c>
      <c r="L179" s="4" t="s">
        <v>23</v>
      </c>
      <c r="M179" s="4">
        <v>2</v>
      </c>
      <c r="N179" s="16">
        <v>30</v>
      </c>
      <c r="O179" s="17">
        <f>M179*N179</f>
        <v>60</v>
      </c>
      <c r="P179" s="13">
        <f>$O179*$U$4</f>
        <v>0.89999999999999991</v>
      </c>
      <c r="Q179" s="13">
        <f>$O179*$U$5</f>
        <v>1.2</v>
      </c>
      <c r="R179" s="13" cm="1">
        <f t="array" ref="R179">_xlfn.IFS(B179=2023,O179*$U$4,B179=2024,O179*$U$5)</f>
        <v>0.89999999999999991</v>
      </c>
    </row>
    <row r="180" spans="1:18">
      <c r="A180" s="2">
        <v>179</v>
      </c>
      <c r="B180" s="4">
        <f t="shared" si="11"/>
        <v>2023</v>
      </c>
      <c r="C180" s="4">
        <f t="shared" si="12"/>
        <v>9</v>
      </c>
      <c r="D180" s="4">
        <f t="shared" si="13"/>
        <v>29</v>
      </c>
      <c r="E180" s="4" t="str">
        <f t="shared" si="14"/>
        <v>Friday</v>
      </c>
      <c r="F180" s="4" t="str">
        <f t="shared" si="15"/>
        <v>September</v>
      </c>
      <c r="G180" s="3">
        <v>45198</v>
      </c>
      <c r="H180" s="4" t="s">
        <v>211</v>
      </c>
      <c r="I180" s="4" t="s">
        <v>19</v>
      </c>
      <c r="J180" s="4" t="str" cm="1">
        <f t="array" ref="J180">_xlfn.IFS(K180&lt;30,"Young Adult",K180&lt;50,"Adult",K180&gt;=50,"Senior")</f>
        <v>Adult</v>
      </c>
      <c r="K180" s="4">
        <v>31</v>
      </c>
      <c r="L180" s="4" t="s">
        <v>26</v>
      </c>
      <c r="M180" s="4">
        <v>1</v>
      </c>
      <c r="N180" s="16">
        <v>300</v>
      </c>
      <c r="O180" s="17">
        <f>M180*N180</f>
        <v>300</v>
      </c>
      <c r="P180" s="13">
        <f>$O180*$U$4</f>
        <v>4.5</v>
      </c>
      <c r="Q180" s="13">
        <f>$O180*$U$5</f>
        <v>6</v>
      </c>
      <c r="R180" s="13" cm="1">
        <f t="array" ref="R180">_xlfn.IFS(B180=2023,O180*$U$4,B180=2024,O180*$U$5)</f>
        <v>4.5</v>
      </c>
    </row>
    <row r="181" spans="1:18">
      <c r="A181" s="2">
        <v>180</v>
      </c>
      <c r="B181" s="4">
        <f t="shared" si="11"/>
        <v>2023</v>
      </c>
      <c r="C181" s="4">
        <f t="shared" si="12"/>
        <v>1</v>
      </c>
      <c r="D181" s="4">
        <f t="shared" si="13"/>
        <v>1</v>
      </c>
      <c r="E181" s="4" t="str">
        <f t="shared" si="14"/>
        <v>Sunday</v>
      </c>
      <c r="F181" s="4" t="str">
        <f t="shared" si="15"/>
        <v>January</v>
      </c>
      <c r="G181" s="3">
        <v>44927</v>
      </c>
      <c r="H181" s="4" t="s">
        <v>212</v>
      </c>
      <c r="I181" s="4" t="s">
        <v>19</v>
      </c>
      <c r="J181" s="4" t="str" cm="1">
        <f t="array" ref="J181">_xlfn.IFS(K181&lt;30,"Young Adult",K181&lt;50,"Adult",K181&gt;=50,"Senior")</f>
        <v>Adult</v>
      </c>
      <c r="K181" s="4">
        <v>41</v>
      </c>
      <c r="L181" s="4" t="s">
        <v>23</v>
      </c>
      <c r="M181" s="4">
        <v>3</v>
      </c>
      <c r="N181" s="16">
        <v>300</v>
      </c>
      <c r="O181" s="17">
        <f>M181*N181</f>
        <v>900</v>
      </c>
      <c r="P181" s="13">
        <f>$O181*$U$4</f>
        <v>13.5</v>
      </c>
      <c r="Q181" s="13">
        <f>$O181*$U$5</f>
        <v>18</v>
      </c>
      <c r="R181" s="13" cm="1">
        <f t="array" ref="R181">_xlfn.IFS(B181=2023,O181*$U$4,B181=2024,O181*$U$5)</f>
        <v>13.5</v>
      </c>
    </row>
    <row r="182" spans="1:18">
      <c r="A182" s="2">
        <v>181</v>
      </c>
      <c r="B182" s="4">
        <f t="shared" si="11"/>
        <v>2023</v>
      </c>
      <c r="C182" s="4">
        <f t="shared" si="12"/>
        <v>11</v>
      </c>
      <c r="D182" s="4">
        <f t="shared" si="13"/>
        <v>3</v>
      </c>
      <c r="E182" s="4" t="str">
        <f t="shared" si="14"/>
        <v>Friday</v>
      </c>
      <c r="F182" s="4" t="str">
        <f t="shared" si="15"/>
        <v>November</v>
      </c>
      <c r="G182" s="3">
        <v>45233</v>
      </c>
      <c r="H182" s="4" t="s">
        <v>213</v>
      </c>
      <c r="I182" s="4" t="s">
        <v>19</v>
      </c>
      <c r="J182" s="4" t="str" cm="1">
        <f t="array" ref="J182">_xlfn.IFS(K182&lt;30,"Young Adult",K182&lt;50,"Adult",K182&gt;=50,"Senior")</f>
        <v>Young Adult</v>
      </c>
      <c r="K182" s="4">
        <v>19</v>
      </c>
      <c r="L182" s="4" t="s">
        <v>26</v>
      </c>
      <c r="M182" s="4">
        <v>4</v>
      </c>
      <c r="N182" s="16">
        <v>300</v>
      </c>
      <c r="O182" s="17">
        <f>M182*N182</f>
        <v>1200</v>
      </c>
      <c r="P182" s="13">
        <f>$O182*$U$4</f>
        <v>18</v>
      </c>
      <c r="Q182" s="13">
        <f>$O182*$U$5</f>
        <v>24</v>
      </c>
      <c r="R182" s="13" cm="1">
        <f t="array" ref="R182">_xlfn.IFS(B182=2023,O182*$U$4,B182=2024,O182*$U$5)</f>
        <v>18</v>
      </c>
    </row>
    <row r="183" spans="1:18">
      <c r="A183" s="2">
        <v>182</v>
      </c>
      <c r="B183" s="4">
        <f t="shared" si="11"/>
        <v>2023</v>
      </c>
      <c r="C183" s="4">
        <f t="shared" si="12"/>
        <v>6</v>
      </c>
      <c r="D183" s="4">
        <f t="shared" si="13"/>
        <v>15</v>
      </c>
      <c r="E183" s="4" t="str">
        <f t="shared" si="14"/>
        <v>Thursday</v>
      </c>
      <c r="F183" s="4" t="str">
        <f t="shared" si="15"/>
        <v>June</v>
      </c>
      <c r="G183" s="3">
        <v>45092</v>
      </c>
      <c r="H183" s="4" t="s">
        <v>214</v>
      </c>
      <c r="I183" s="4" t="s">
        <v>19</v>
      </c>
      <c r="J183" s="4" t="str" cm="1">
        <f t="array" ref="J183">_xlfn.IFS(K183&lt;30,"Young Adult",K183&lt;50,"Adult",K183&gt;=50,"Senior")</f>
        <v>Senior</v>
      </c>
      <c r="K183" s="4">
        <v>62</v>
      </c>
      <c r="L183" s="4" t="s">
        <v>20</v>
      </c>
      <c r="M183" s="4">
        <v>4</v>
      </c>
      <c r="N183" s="16">
        <v>30</v>
      </c>
      <c r="O183" s="17">
        <f>M183*N183</f>
        <v>120</v>
      </c>
      <c r="P183" s="13">
        <f>$O183*$U$4</f>
        <v>1.7999999999999998</v>
      </c>
      <c r="Q183" s="13">
        <f>$O183*$U$5</f>
        <v>2.4</v>
      </c>
      <c r="R183" s="13" cm="1">
        <f t="array" ref="R183">_xlfn.IFS(B183=2023,O183*$U$4,B183=2024,O183*$U$5)</f>
        <v>1.7999999999999998</v>
      </c>
    </row>
    <row r="184" spans="1:18">
      <c r="A184" s="2">
        <v>183</v>
      </c>
      <c r="B184" s="4">
        <f t="shared" si="11"/>
        <v>2023</v>
      </c>
      <c r="C184" s="4">
        <f t="shared" si="12"/>
        <v>9</v>
      </c>
      <c r="D184" s="4">
        <f t="shared" si="13"/>
        <v>8</v>
      </c>
      <c r="E184" s="4" t="str">
        <f t="shared" si="14"/>
        <v>Friday</v>
      </c>
      <c r="F184" s="4" t="str">
        <f t="shared" si="15"/>
        <v>September</v>
      </c>
      <c r="G184" s="3">
        <v>45177</v>
      </c>
      <c r="H184" s="4" t="s">
        <v>215</v>
      </c>
      <c r="I184" s="4" t="s">
        <v>22</v>
      </c>
      <c r="J184" s="4" t="str" cm="1">
        <f t="array" ref="J184">_xlfn.IFS(K184&lt;30,"Young Adult",K184&lt;50,"Adult",K184&gt;=50,"Senior")</f>
        <v>Adult</v>
      </c>
      <c r="K184" s="4">
        <v>43</v>
      </c>
      <c r="L184" s="4" t="s">
        <v>20</v>
      </c>
      <c r="M184" s="4">
        <v>3</v>
      </c>
      <c r="N184" s="16">
        <v>300</v>
      </c>
      <c r="O184" s="17">
        <f>M184*N184</f>
        <v>900</v>
      </c>
      <c r="P184" s="13">
        <f>$O184*$U$4</f>
        <v>13.5</v>
      </c>
      <c r="Q184" s="13">
        <f>$O184*$U$5</f>
        <v>18</v>
      </c>
      <c r="R184" s="13" cm="1">
        <f t="array" ref="R184">_xlfn.IFS(B184=2023,O184*$U$4,B184=2024,O184*$U$5)</f>
        <v>13.5</v>
      </c>
    </row>
    <row r="185" spans="1:18">
      <c r="A185" s="2">
        <v>184</v>
      </c>
      <c r="B185" s="4">
        <f t="shared" si="11"/>
        <v>2023</v>
      </c>
      <c r="C185" s="4">
        <f t="shared" si="12"/>
        <v>1</v>
      </c>
      <c r="D185" s="4">
        <f t="shared" si="13"/>
        <v>10</v>
      </c>
      <c r="E185" s="4" t="str">
        <f t="shared" si="14"/>
        <v>Tuesday</v>
      </c>
      <c r="F185" s="4" t="str">
        <f t="shared" si="15"/>
        <v>January</v>
      </c>
      <c r="G185" s="3">
        <v>44936</v>
      </c>
      <c r="H185" s="4" t="s">
        <v>216</v>
      </c>
      <c r="I185" s="4" t="s">
        <v>19</v>
      </c>
      <c r="J185" s="4" t="str" cm="1">
        <f t="array" ref="J185">_xlfn.IFS(K185&lt;30,"Young Adult",K185&lt;50,"Adult",K185&gt;=50,"Senior")</f>
        <v>Adult</v>
      </c>
      <c r="K185" s="4">
        <v>31</v>
      </c>
      <c r="L185" s="4" t="s">
        <v>26</v>
      </c>
      <c r="M185" s="4">
        <v>4</v>
      </c>
      <c r="N185" s="16">
        <v>50</v>
      </c>
      <c r="O185" s="17">
        <f>M185*N185</f>
        <v>200</v>
      </c>
      <c r="P185" s="13">
        <f>$O185*$U$4</f>
        <v>3</v>
      </c>
      <c r="Q185" s="13">
        <f>$O185*$U$5</f>
        <v>4</v>
      </c>
      <c r="R185" s="13" cm="1">
        <f t="array" ref="R185">_xlfn.IFS(B185=2023,O185*$U$4,B185=2024,O185*$U$5)</f>
        <v>3</v>
      </c>
    </row>
    <row r="186" spans="1:18">
      <c r="A186" s="2">
        <v>185</v>
      </c>
      <c r="B186" s="4">
        <f t="shared" si="11"/>
        <v>2023</v>
      </c>
      <c r="C186" s="4">
        <f t="shared" si="12"/>
        <v>2</v>
      </c>
      <c r="D186" s="4">
        <f t="shared" si="13"/>
        <v>27</v>
      </c>
      <c r="E186" s="4" t="str">
        <f t="shared" si="14"/>
        <v>Monday</v>
      </c>
      <c r="F186" s="4" t="str">
        <f t="shared" si="15"/>
        <v>February</v>
      </c>
      <c r="G186" s="3">
        <v>44984</v>
      </c>
      <c r="H186" s="4" t="s">
        <v>217</v>
      </c>
      <c r="I186" s="4" t="s">
        <v>19</v>
      </c>
      <c r="J186" s="4" t="str" cm="1">
        <f t="array" ref="J186">_xlfn.IFS(K186&lt;30,"Young Adult",K186&lt;50,"Adult",K186&gt;=50,"Senior")</f>
        <v>Young Adult</v>
      </c>
      <c r="K186" s="4">
        <v>24</v>
      </c>
      <c r="L186" s="4" t="s">
        <v>23</v>
      </c>
      <c r="M186" s="4">
        <v>1</v>
      </c>
      <c r="N186" s="16">
        <v>25</v>
      </c>
      <c r="O186" s="17">
        <f>M186*N186</f>
        <v>25</v>
      </c>
      <c r="P186" s="13">
        <f>$O186*$U$4</f>
        <v>0.375</v>
      </c>
      <c r="Q186" s="13">
        <f>$O186*$U$5</f>
        <v>0.5</v>
      </c>
      <c r="R186" s="13" cm="1">
        <f t="array" ref="R186">_xlfn.IFS(B186=2023,O186*$U$4,B186=2024,O186*$U$5)</f>
        <v>0.375</v>
      </c>
    </row>
    <row r="187" spans="1:18">
      <c r="A187" s="2">
        <v>186</v>
      </c>
      <c r="B187" s="4">
        <f t="shared" si="11"/>
        <v>2023</v>
      </c>
      <c r="C187" s="4">
        <f t="shared" si="12"/>
        <v>7</v>
      </c>
      <c r="D187" s="4">
        <f t="shared" si="13"/>
        <v>5</v>
      </c>
      <c r="E187" s="4" t="str">
        <f t="shared" si="14"/>
        <v>Wednesday</v>
      </c>
      <c r="F187" s="4" t="str">
        <f t="shared" si="15"/>
        <v>July</v>
      </c>
      <c r="G187" s="3">
        <v>45112</v>
      </c>
      <c r="H187" s="4" t="s">
        <v>218</v>
      </c>
      <c r="I187" s="4" t="s">
        <v>19</v>
      </c>
      <c r="J187" s="4" t="str" cm="1">
        <f t="array" ref="J187">_xlfn.IFS(K187&lt;30,"Young Adult",K187&lt;50,"Adult",K187&gt;=50,"Senior")</f>
        <v>Young Adult</v>
      </c>
      <c r="K187" s="4">
        <v>20</v>
      </c>
      <c r="L187" s="4" t="s">
        <v>23</v>
      </c>
      <c r="M187" s="4">
        <v>4</v>
      </c>
      <c r="N187" s="16">
        <v>50</v>
      </c>
      <c r="O187" s="17">
        <f>M187*N187</f>
        <v>200</v>
      </c>
      <c r="P187" s="13">
        <f>$O187*$U$4</f>
        <v>3</v>
      </c>
      <c r="Q187" s="13">
        <f>$O187*$U$5</f>
        <v>4</v>
      </c>
      <c r="R187" s="13" cm="1">
        <f t="array" ref="R187">_xlfn.IFS(B187=2023,O187*$U$4,B187=2024,O187*$U$5)</f>
        <v>3</v>
      </c>
    </row>
    <row r="188" spans="1:18">
      <c r="A188" s="2">
        <v>187</v>
      </c>
      <c r="B188" s="4">
        <f t="shared" si="11"/>
        <v>2023</v>
      </c>
      <c r="C188" s="4">
        <f t="shared" si="12"/>
        <v>6</v>
      </c>
      <c r="D188" s="4">
        <f t="shared" si="13"/>
        <v>7</v>
      </c>
      <c r="E188" s="4" t="str">
        <f t="shared" si="14"/>
        <v>Wednesday</v>
      </c>
      <c r="F188" s="4" t="str">
        <f t="shared" si="15"/>
        <v>June</v>
      </c>
      <c r="G188" s="3">
        <v>45084</v>
      </c>
      <c r="H188" s="4" t="s">
        <v>219</v>
      </c>
      <c r="I188" s="4" t="s">
        <v>22</v>
      </c>
      <c r="J188" s="4" t="str" cm="1">
        <f t="array" ref="J188">_xlfn.IFS(K188&lt;30,"Young Adult",K188&lt;50,"Adult",K188&gt;=50,"Senior")</f>
        <v>Senior</v>
      </c>
      <c r="K188" s="4">
        <v>64</v>
      </c>
      <c r="L188" s="4" t="s">
        <v>23</v>
      </c>
      <c r="M188" s="4">
        <v>2</v>
      </c>
      <c r="N188" s="16">
        <v>50</v>
      </c>
      <c r="O188" s="17">
        <f>M188*N188</f>
        <v>100</v>
      </c>
      <c r="P188" s="13">
        <f>$O188*$U$4</f>
        <v>1.5</v>
      </c>
      <c r="Q188" s="13">
        <f>$O188*$U$5</f>
        <v>2</v>
      </c>
      <c r="R188" s="13" cm="1">
        <f t="array" ref="R188">_xlfn.IFS(B188=2023,O188*$U$4,B188=2024,O188*$U$5)</f>
        <v>1.5</v>
      </c>
    </row>
    <row r="189" spans="1:18">
      <c r="A189" s="2">
        <v>188</v>
      </c>
      <c r="B189" s="4">
        <f t="shared" si="11"/>
        <v>2023</v>
      </c>
      <c r="C189" s="4">
        <f t="shared" si="12"/>
        <v>5</v>
      </c>
      <c r="D189" s="4">
        <f t="shared" si="13"/>
        <v>3</v>
      </c>
      <c r="E189" s="4" t="str">
        <f t="shared" si="14"/>
        <v>Wednesday</v>
      </c>
      <c r="F189" s="4" t="str">
        <f t="shared" si="15"/>
        <v>May</v>
      </c>
      <c r="G189" s="3">
        <v>45049</v>
      </c>
      <c r="H189" s="4" t="s">
        <v>220</v>
      </c>
      <c r="I189" s="4" t="s">
        <v>19</v>
      </c>
      <c r="J189" s="4" t="str" cm="1">
        <f t="array" ref="J189">_xlfn.IFS(K189&lt;30,"Young Adult",K189&lt;50,"Adult",K189&gt;=50,"Senior")</f>
        <v>Adult</v>
      </c>
      <c r="K189" s="4">
        <v>40</v>
      </c>
      <c r="L189" s="4" t="s">
        <v>23</v>
      </c>
      <c r="M189" s="4">
        <v>3</v>
      </c>
      <c r="N189" s="16">
        <v>25</v>
      </c>
      <c r="O189" s="17">
        <f>M189*N189</f>
        <v>75</v>
      </c>
      <c r="P189" s="13">
        <f>$O189*$U$4</f>
        <v>1.125</v>
      </c>
      <c r="Q189" s="13">
        <f>$O189*$U$5</f>
        <v>1.5</v>
      </c>
      <c r="R189" s="13" cm="1">
        <f t="array" ref="R189">_xlfn.IFS(B189=2023,O189*$U$4,B189=2024,O189*$U$5)</f>
        <v>1.125</v>
      </c>
    </row>
    <row r="190" spans="1:18">
      <c r="A190" s="2">
        <v>189</v>
      </c>
      <c r="B190" s="4">
        <f t="shared" si="11"/>
        <v>2023</v>
      </c>
      <c r="C190" s="4">
        <f t="shared" si="12"/>
        <v>1</v>
      </c>
      <c r="D190" s="4">
        <f t="shared" si="13"/>
        <v>30</v>
      </c>
      <c r="E190" s="4" t="str">
        <f t="shared" si="14"/>
        <v>Monday</v>
      </c>
      <c r="F190" s="4" t="str">
        <f t="shared" si="15"/>
        <v>January</v>
      </c>
      <c r="G190" s="3">
        <v>44956</v>
      </c>
      <c r="H190" s="4" t="s">
        <v>221</v>
      </c>
      <c r="I190" s="4" t="s">
        <v>19</v>
      </c>
      <c r="J190" s="4" t="str" cm="1">
        <f t="array" ref="J190">_xlfn.IFS(K190&lt;30,"Young Adult",K190&lt;50,"Adult",K190&gt;=50,"Senior")</f>
        <v>Senior</v>
      </c>
      <c r="K190" s="4">
        <v>63</v>
      </c>
      <c r="L190" s="4" t="s">
        <v>20</v>
      </c>
      <c r="M190" s="4">
        <v>1</v>
      </c>
      <c r="N190" s="16">
        <v>50</v>
      </c>
      <c r="O190" s="17">
        <f>M190*N190</f>
        <v>50</v>
      </c>
      <c r="P190" s="13">
        <f>$O190*$U$4</f>
        <v>0.75</v>
      </c>
      <c r="Q190" s="13">
        <f>$O190*$U$5</f>
        <v>1</v>
      </c>
      <c r="R190" s="13" cm="1">
        <f t="array" ref="R190">_xlfn.IFS(B190=2023,O190*$U$4,B190=2024,O190*$U$5)</f>
        <v>0.75</v>
      </c>
    </row>
    <row r="191" spans="1:18">
      <c r="A191" s="2">
        <v>190</v>
      </c>
      <c r="B191" s="4">
        <f t="shared" si="11"/>
        <v>2023</v>
      </c>
      <c r="C191" s="4">
        <f t="shared" si="12"/>
        <v>5</v>
      </c>
      <c r="D191" s="4">
        <f t="shared" si="13"/>
        <v>4</v>
      </c>
      <c r="E191" s="4" t="str">
        <f t="shared" si="14"/>
        <v>Thursday</v>
      </c>
      <c r="F191" s="4" t="str">
        <f t="shared" si="15"/>
        <v>May</v>
      </c>
      <c r="G191" s="3">
        <v>45050</v>
      </c>
      <c r="H191" s="4" t="s">
        <v>222</v>
      </c>
      <c r="I191" s="4" t="s">
        <v>22</v>
      </c>
      <c r="J191" s="4" t="str" cm="1">
        <f t="array" ref="J191">_xlfn.IFS(K191&lt;30,"Young Adult",K191&lt;50,"Adult",K191&gt;=50,"Senior")</f>
        <v>Senior</v>
      </c>
      <c r="K191" s="4">
        <v>60</v>
      </c>
      <c r="L191" s="4" t="s">
        <v>20</v>
      </c>
      <c r="M191" s="4">
        <v>3</v>
      </c>
      <c r="N191" s="16">
        <v>30</v>
      </c>
      <c r="O191" s="17">
        <f>M191*N191</f>
        <v>90</v>
      </c>
      <c r="P191" s="13">
        <f>$O191*$U$4</f>
        <v>1.3499999999999999</v>
      </c>
      <c r="Q191" s="13">
        <f>$O191*$U$5</f>
        <v>1.8</v>
      </c>
      <c r="R191" s="13" cm="1">
        <f t="array" ref="R191">_xlfn.IFS(B191=2023,O191*$U$4,B191=2024,O191*$U$5)</f>
        <v>1.3499999999999999</v>
      </c>
    </row>
    <row r="192" spans="1:18">
      <c r="A192" s="2">
        <v>191</v>
      </c>
      <c r="B192" s="4">
        <f t="shared" si="11"/>
        <v>2023</v>
      </c>
      <c r="C192" s="4">
        <f t="shared" si="12"/>
        <v>10</v>
      </c>
      <c r="D192" s="4">
        <f t="shared" si="13"/>
        <v>18</v>
      </c>
      <c r="E192" s="4" t="str">
        <f t="shared" si="14"/>
        <v>Wednesday</v>
      </c>
      <c r="F192" s="4" t="str">
        <f t="shared" si="15"/>
        <v>October</v>
      </c>
      <c r="G192" s="3">
        <v>45217</v>
      </c>
      <c r="H192" s="4" t="s">
        <v>223</v>
      </c>
      <c r="I192" s="4" t="s">
        <v>19</v>
      </c>
      <c r="J192" s="4" t="str" cm="1">
        <f t="array" ref="J192">_xlfn.IFS(K192&lt;30,"Young Adult",K192&lt;50,"Adult",K192&gt;=50,"Senior")</f>
        <v>Senior</v>
      </c>
      <c r="K192" s="4">
        <v>64</v>
      </c>
      <c r="L192" s="4" t="s">
        <v>20</v>
      </c>
      <c r="M192" s="4">
        <v>1</v>
      </c>
      <c r="N192" s="16">
        <v>25</v>
      </c>
      <c r="O192" s="17">
        <f>M192*N192</f>
        <v>25</v>
      </c>
      <c r="P192" s="13">
        <f>$O192*$U$4</f>
        <v>0.375</v>
      </c>
      <c r="Q192" s="13">
        <f>$O192*$U$5</f>
        <v>0.5</v>
      </c>
      <c r="R192" s="13" cm="1">
        <f t="array" ref="R192">_xlfn.IFS(B192=2023,O192*$U$4,B192=2024,O192*$U$5)</f>
        <v>0.375</v>
      </c>
    </row>
    <row r="193" spans="1:18">
      <c r="A193" s="2">
        <v>192</v>
      </c>
      <c r="B193" s="4">
        <f t="shared" si="11"/>
        <v>2023</v>
      </c>
      <c r="C193" s="4">
        <f t="shared" si="12"/>
        <v>2</v>
      </c>
      <c r="D193" s="4">
        <f t="shared" si="13"/>
        <v>10</v>
      </c>
      <c r="E193" s="4" t="str">
        <f t="shared" si="14"/>
        <v>Friday</v>
      </c>
      <c r="F193" s="4" t="str">
        <f t="shared" si="15"/>
        <v>February</v>
      </c>
      <c r="G193" s="3">
        <v>44967</v>
      </c>
      <c r="H193" s="4" t="s">
        <v>224</v>
      </c>
      <c r="I193" s="4" t="s">
        <v>19</v>
      </c>
      <c r="J193" s="4" t="str" cm="1">
        <f t="array" ref="J193">_xlfn.IFS(K193&lt;30,"Young Adult",K193&lt;50,"Adult",K193&gt;=50,"Senior")</f>
        <v>Senior</v>
      </c>
      <c r="K193" s="4">
        <v>62</v>
      </c>
      <c r="L193" s="4" t="s">
        <v>20</v>
      </c>
      <c r="M193" s="4">
        <v>2</v>
      </c>
      <c r="N193" s="16">
        <v>50</v>
      </c>
      <c r="O193" s="17">
        <f>M193*N193</f>
        <v>100</v>
      </c>
      <c r="P193" s="13">
        <f>$O193*$U$4</f>
        <v>1.5</v>
      </c>
      <c r="Q193" s="13">
        <f>$O193*$U$5</f>
        <v>2</v>
      </c>
      <c r="R193" s="13" cm="1">
        <f t="array" ref="R193">_xlfn.IFS(B193=2023,O193*$U$4,B193=2024,O193*$U$5)</f>
        <v>1.5</v>
      </c>
    </row>
    <row r="194" spans="1:18">
      <c r="A194" s="2">
        <v>193</v>
      </c>
      <c r="B194" s="4">
        <f t="shared" si="11"/>
        <v>2023</v>
      </c>
      <c r="C194" s="4">
        <f t="shared" si="12"/>
        <v>2</v>
      </c>
      <c r="D194" s="4">
        <f t="shared" si="13"/>
        <v>13</v>
      </c>
      <c r="E194" s="4" t="str">
        <f t="shared" si="14"/>
        <v>Monday</v>
      </c>
      <c r="F194" s="4" t="str">
        <f t="shared" si="15"/>
        <v>February</v>
      </c>
      <c r="G194" s="3">
        <v>44970</v>
      </c>
      <c r="H194" s="4" t="s">
        <v>225</v>
      </c>
      <c r="I194" s="4" t="s">
        <v>19</v>
      </c>
      <c r="J194" s="4" t="str" cm="1">
        <f t="array" ref="J194">_xlfn.IFS(K194&lt;30,"Young Adult",K194&lt;50,"Adult",K194&gt;=50,"Senior")</f>
        <v>Adult</v>
      </c>
      <c r="K194" s="4">
        <v>35</v>
      </c>
      <c r="L194" s="4" t="s">
        <v>20</v>
      </c>
      <c r="M194" s="4">
        <v>3</v>
      </c>
      <c r="N194" s="16">
        <v>500</v>
      </c>
      <c r="O194" s="17">
        <f>M194*N194</f>
        <v>1500</v>
      </c>
      <c r="P194" s="13">
        <f>$O194*$U$4</f>
        <v>22.5</v>
      </c>
      <c r="Q194" s="13">
        <f>$O194*$U$5</f>
        <v>30</v>
      </c>
      <c r="R194" s="13" cm="1">
        <f t="array" ref="R194">_xlfn.IFS(B194=2023,O194*$U$4,B194=2024,O194*$U$5)</f>
        <v>22.5</v>
      </c>
    </row>
    <row r="195" spans="1:18">
      <c r="A195" s="2">
        <v>194</v>
      </c>
      <c r="B195" s="4">
        <f t="shared" ref="B195:B258" si="16">YEAR(G195)</f>
        <v>2023</v>
      </c>
      <c r="C195" s="4">
        <f t="shared" ref="C195:C258" si="17">MONTH(G195)</f>
        <v>9</v>
      </c>
      <c r="D195" s="4">
        <f t="shared" ref="D195:D258" si="18">DAY(G195)</f>
        <v>6</v>
      </c>
      <c r="E195" s="4" t="str">
        <f t="shared" ref="E195:E258" si="19">TEXT(G195,"dddd")</f>
        <v>Wednesday</v>
      </c>
      <c r="F195" s="4" t="str">
        <f t="shared" ref="F195:F258" si="20">TEXT(G195,"mmmm")</f>
        <v>September</v>
      </c>
      <c r="G195" s="3">
        <v>45175</v>
      </c>
      <c r="H195" s="4" t="s">
        <v>226</v>
      </c>
      <c r="I195" s="4" t="s">
        <v>19</v>
      </c>
      <c r="J195" s="4" t="str" cm="1">
        <f t="array" ref="J195">_xlfn.IFS(K195&lt;30,"Young Adult",K195&lt;50,"Adult",K195&gt;=50,"Senior")</f>
        <v>Senior</v>
      </c>
      <c r="K195" s="4">
        <v>55</v>
      </c>
      <c r="L195" s="4" t="s">
        <v>23</v>
      </c>
      <c r="M195" s="4">
        <v>4</v>
      </c>
      <c r="N195" s="16">
        <v>50</v>
      </c>
      <c r="O195" s="17">
        <f>M195*N195</f>
        <v>200</v>
      </c>
      <c r="P195" s="13">
        <f>$O195*$U$4</f>
        <v>3</v>
      </c>
      <c r="Q195" s="13">
        <f>$O195*$U$5</f>
        <v>4</v>
      </c>
      <c r="R195" s="13" cm="1">
        <f t="array" ref="R195">_xlfn.IFS(B195=2023,O195*$U$4,B195=2024,O195*$U$5)</f>
        <v>3</v>
      </c>
    </row>
    <row r="196" spans="1:18">
      <c r="A196" s="2">
        <v>195</v>
      </c>
      <c r="B196" s="4">
        <f t="shared" si="16"/>
        <v>2023</v>
      </c>
      <c r="C196" s="4">
        <f t="shared" si="17"/>
        <v>2</v>
      </c>
      <c r="D196" s="4">
        <f t="shared" si="18"/>
        <v>5</v>
      </c>
      <c r="E196" s="4" t="str">
        <f t="shared" si="19"/>
        <v>Sunday</v>
      </c>
      <c r="F196" s="4" t="str">
        <f t="shared" si="20"/>
        <v>February</v>
      </c>
      <c r="G196" s="3">
        <v>44962</v>
      </c>
      <c r="H196" s="4" t="s">
        <v>227</v>
      </c>
      <c r="I196" s="4" t="s">
        <v>19</v>
      </c>
      <c r="J196" s="4" t="str" cm="1">
        <f t="array" ref="J196">_xlfn.IFS(K196&lt;30,"Young Adult",K196&lt;50,"Adult",K196&gt;=50,"Senior")</f>
        <v>Senior</v>
      </c>
      <c r="K196" s="4">
        <v>52</v>
      </c>
      <c r="L196" s="4" t="s">
        <v>23</v>
      </c>
      <c r="M196" s="4">
        <v>1</v>
      </c>
      <c r="N196" s="16">
        <v>30</v>
      </c>
      <c r="O196" s="17">
        <f>M196*N196</f>
        <v>30</v>
      </c>
      <c r="P196" s="13">
        <f>$O196*$U$4</f>
        <v>0.44999999999999996</v>
      </c>
      <c r="Q196" s="13">
        <f>$O196*$U$5</f>
        <v>0.6</v>
      </c>
      <c r="R196" s="13" cm="1">
        <f t="array" ref="R196">_xlfn.IFS(B196=2023,O196*$U$4,B196=2024,O196*$U$5)</f>
        <v>0.44999999999999996</v>
      </c>
    </row>
    <row r="197" spans="1:18">
      <c r="A197" s="2">
        <v>196</v>
      </c>
      <c r="B197" s="4">
        <f t="shared" si="16"/>
        <v>2023</v>
      </c>
      <c r="C197" s="4">
        <f t="shared" si="17"/>
        <v>9</v>
      </c>
      <c r="D197" s="4">
        <f t="shared" si="18"/>
        <v>30</v>
      </c>
      <c r="E197" s="4" t="str">
        <f t="shared" si="19"/>
        <v>Saturday</v>
      </c>
      <c r="F197" s="4" t="str">
        <f t="shared" si="20"/>
        <v>September</v>
      </c>
      <c r="G197" s="3">
        <v>45199</v>
      </c>
      <c r="H197" s="4" t="s">
        <v>228</v>
      </c>
      <c r="I197" s="4" t="s">
        <v>22</v>
      </c>
      <c r="J197" s="4" t="str" cm="1">
        <f t="array" ref="J197">_xlfn.IFS(K197&lt;30,"Young Adult",K197&lt;50,"Adult",K197&gt;=50,"Senior")</f>
        <v>Adult</v>
      </c>
      <c r="K197" s="4">
        <v>32</v>
      </c>
      <c r="L197" s="4" t="s">
        <v>23</v>
      </c>
      <c r="M197" s="4">
        <v>3</v>
      </c>
      <c r="N197" s="16">
        <v>300</v>
      </c>
      <c r="O197" s="17">
        <f>M197*N197</f>
        <v>900</v>
      </c>
      <c r="P197" s="13">
        <f>$O197*$U$4</f>
        <v>13.5</v>
      </c>
      <c r="Q197" s="13">
        <f>$O197*$U$5</f>
        <v>18</v>
      </c>
      <c r="R197" s="13" cm="1">
        <f t="array" ref="R197">_xlfn.IFS(B197=2023,O197*$U$4,B197=2024,O197*$U$5)</f>
        <v>13.5</v>
      </c>
    </row>
    <row r="198" spans="1:18">
      <c r="A198" s="2">
        <v>197</v>
      </c>
      <c r="B198" s="4">
        <f t="shared" si="16"/>
        <v>2023</v>
      </c>
      <c r="C198" s="4">
        <f t="shared" si="17"/>
        <v>3</v>
      </c>
      <c r="D198" s="4">
        <f t="shared" si="18"/>
        <v>6</v>
      </c>
      <c r="E198" s="4" t="str">
        <f t="shared" si="19"/>
        <v>Monday</v>
      </c>
      <c r="F198" s="4" t="str">
        <f t="shared" si="20"/>
        <v>March</v>
      </c>
      <c r="G198" s="3">
        <v>44991</v>
      </c>
      <c r="H198" s="4" t="s">
        <v>229</v>
      </c>
      <c r="I198" s="4" t="s">
        <v>22</v>
      </c>
      <c r="J198" s="4" t="str" cm="1">
        <f t="array" ref="J198">_xlfn.IFS(K198&lt;30,"Young Adult",K198&lt;50,"Adult",K198&gt;=50,"Senior")</f>
        <v>Adult</v>
      </c>
      <c r="K198" s="4">
        <v>42</v>
      </c>
      <c r="L198" s="4" t="s">
        <v>23</v>
      </c>
      <c r="M198" s="4">
        <v>4</v>
      </c>
      <c r="N198" s="16">
        <v>50</v>
      </c>
      <c r="O198" s="17">
        <f>M198*N198</f>
        <v>200</v>
      </c>
      <c r="P198" s="13">
        <f>$O198*$U$4</f>
        <v>3</v>
      </c>
      <c r="Q198" s="13">
        <f>$O198*$U$5</f>
        <v>4</v>
      </c>
      <c r="R198" s="13" cm="1">
        <f t="array" ref="R198">_xlfn.IFS(B198=2023,O198*$U$4,B198=2024,O198*$U$5)</f>
        <v>3</v>
      </c>
    </row>
    <row r="199" spans="1:18">
      <c r="A199" s="2">
        <v>198</v>
      </c>
      <c r="B199" s="4">
        <f t="shared" si="16"/>
        <v>2023</v>
      </c>
      <c r="C199" s="4">
        <f t="shared" si="17"/>
        <v>3</v>
      </c>
      <c r="D199" s="4">
        <f t="shared" si="18"/>
        <v>7</v>
      </c>
      <c r="E199" s="4" t="str">
        <f t="shared" si="19"/>
        <v>Tuesday</v>
      </c>
      <c r="F199" s="4" t="str">
        <f t="shared" si="20"/>
        <v>March</v>
      </c>
      <c r="G199" s="3">
        <v>44992</v>
      </c>
      <c r="H199" s="4" t="s">
        <v>230</v>
      </c>
      <c r="I199" s="4" t="s">
        <v>22</v>
      </c>
      <c r="J199" s="4" t="str" cm="1">
        <f t="array" ref="J199">_xlfn.IFS(K199&lt;30,"Young Adult",K199&lt;50,"Adult",K199&gt;=50,"Senior")</f>
        <v>Senior</v>
      </c>
      <c r="K199" s="4">
        <v>54</v>
      </c>
      <c r="L199" s="4" t="s">
        <v>20</v>
      </c>
      <c r="M199" s="4">
        <v>3</v>
      </c>
      <c r="N199" s="16">
        <v>300</v>
      </c>
      <c r="O199" s="17">
        <f>M199*N199</f>
        <v>900</v>
      </c>
      <c r="P199" s="13">
        <f>$O199*$U$4</f>
        <v>13.5</v>
      </c>
      <c r="Q199" s="13">
        <f>$O199*$U$5</f>
        <v>18</v>
      </c>
      <c r="R199" s="13" cm="1">
        <f t="array" ref="R199">_xlfn.IFS(B199=2023,O199*$U$4,B199=2024,O199*$U$5)</f>
        <v>13.5</v>
      </c>
    </row>
    <row r="200" spans="1:18">
      <c r="A200" s="2">
        <v>199</v>
      </c>
      <c r="B200" s="4">
        <f t="shared" si="16"/>
        <v>2023</v>
      </c>
      <c r="C200" s="4">
        <f t="shared" si="17"/>
        <v>12</v>
      </c>
      <c r="D200" s="4">
        <f t="shared" si="18"/>
        <v>4</v>
      </c>
      <c r="E200" s="4" t="str">
        <f t="shared" si="19"/>
        <v>Monday</v>
      </c>
      <c r="F200" s="4" t="str">
        <f t="shared" si="20"/>
        <v>December</v>
      </c>
      <c r="G200" s="3">
        <v>45264</v>
      </c>
      <c r="H200" s="4" t="s">
        <v>231</v>
      </c>
      <c r="I200" s="4" t="s">
        <v>19</v>
      </c>
      <c r="J200" s="4" t="str" cm="1">
        <f t="array" ref="J200">_xlfn.IFS(K200&lt;30,"Young Adult",K200&lt;50,"Adult",K200&gt;=50,"Senior")</f>
        <v>Adult</v>
      </c>
      <c r="K200" s="4">
        <v>45</v>
      </c>
      <c r="L200" s="4" t="s">
        <v>20</v>
      </c>
      <c r="M200" s="4">
        <v>3</v>
      </c>
      <c r="N200" s="16">
        <v>500</v>
      </c>
      <c r="O200" s="17">
        <f>M200*N200</f>
        <v>1500</v>
      </c>
      <c r="P200" s="13">
        <f>$O200*$U$4</f>
        <v>22.5</v>
      </c>
      <c r="Q200" s="13">
        <f>$O200*$U$5</f>
        <v>30</v>
      </c>
      <c r="R200" s="13" cm="1">
        <f t="array" ref="R200">_xlfn.IFS(B200=2023,O200*$U$4,B200=2024,O200*$U$5)</f>
        <v>22.5</v>
      </c>
    </row>
    <row r="201" spans="1:18">
      <c r="A201" s="2">
        <v>200</v>
      </c>
      <c r="B201" s="4">
        <f t="shared" si="16"/>
        <v>2023</v>
      </c>
      <c r="C201" s="4">
        <f t="shared" si="17"/>
        <v>9</v>
      </c>
      <c r="D201" s="4">
        <f t="shared" si="18"/>
        <v>1</v>
      </c>
      <c r="E201" s="4" t="str">
        <f t="shared" si="19"/>
        <v>Friday</v>
      </c>
      <c r="F201" s="4" t="str">
        <f t="shared" si="20"/>
        <v>September</v>
      </c>
      <c r="G201" s="3">
        <v>45170</v>
      </c>
      <c r="H201" s="4" t="s">
        <v>232</v>
      </c>
      <c r="I201" s="4" t="s">
        <v>19</v>
      </c>
      <c r="J201" s="4" t="str" cm="1">
        <f t="array" ref="J201">_xlfn.IFS(K201&lt;30,"Young Adult",K201&lt;50,"Adult",K201&gt;=50,"Senior")</f>
        <v>Young Adult</v>
      </c>
      <c r="K201" s="4">
        <v>27</v>
      </c>
      <c r="L201" s="4" t="s">
        <v>20</v>
      </c>
      <c r="M201" s="4">
        <v>3</v>
      </c>
      <c r="N201" s="16">
        <v>50</v>
      </c>
      <c r="O201" s="17">
        <f>M201*N201</f>
        <v>150</v>
      </c>
      <c r="P201" s="13">
        <f>$O201*$U$4</f>
        <v>2.25</v>
      </c>
      <c r="Q201" s="13">
        <f>$O201*$U$5</f>
        <v>3</v>
      </c>
      <c r="R201" s="13" cm="1">
        <f t="array" ref="R201">_xlfn.IFS(B201=2023,O201*$U$4,B201=2024,O201*$U$5)</f>
        <v>2.25</v>
      </c>
    </row>
    <row r="202" spans="1:18">
      <c r="A202" s="2">
        <v>201</v>
      </c>
      <c r="B202" s="4">
        <f t="shared" si="16"/>
        <v>2023</v>
      </c>
      <c r="C202" s="4">
        <f t="shared" si="17"/>
        <v>10</v>
      </c>
      <c r="D202" s="4">
        <f t="shared" si="18"/>
        <v>9</v>
      </c>
      <c r="E202" s="4" t="str">
        <f t="shared" si="19"/>
        <v>Monday</v>
      </c>
      <c r="F202" s="4" t="str">
        <f t="shared" si="20"/>
        <v>October</v>
      </c>
      <c r="G202" s="3">
        <v>45208</v>
      </c>
      <c r="H202" s="4" t="s">
        <v>233</v>
      </c>
      <c r="I202" s="4" t="s">
        <v>19</v>
      </c>
      <c r="J202" s="4" t="str" cm="1">
        <f t="array" ref="J202">_xlfn.IFS(K202&lt;30,"Young Adult",K202&lt;50,"Adult",K202&gt;=50,"Senior")</f>
        <v>Senior</v>
      </c>
      <c r="K202" s="4">
        <v>56</v>
      </c>
      <c r="L202" s="4" t="s">
        <v>26</v>
      </c>
      <c r="M202" s="4">
        <v>1</v>
      </c>
      <c r="N202" s="16">
        <v>25</v>
      </c>
      <c r="O202" s="17">
        <f>M202*N202</f>
        <v>25</v>
      </c>
      <c r="P202" s="13">
        <f>$O202*$U$4</f>
        <v>0.375</v>
      </c>
      <c r="Q202" s="13">
        <f>$O202*$U$5</f>
        <v>0.5</v>
      </c>
      <c r="R202" s="13" cm="1">
        <f t="array" ref="R202">_xlfn.IFS(B202=2023,O202*$U$4,B202=2024,O202*$U$5)</f>
        <v>0.375</v>
      </c>
    </row>
    <row r="203" spans="1:18">
      <c r="A203" s="2">
        <v>202</v>
      </c>
      <c r="B203" s="4">
        <f t="shared" si="16"/>
        <v>2023</v>
      </c>
      <c r="C203" s="4">
        <f t="shared" si="17"/>
        <v>3</v>
      </c>
      <c r="D203" s="4">
        <f t="shared" si="18"/>
        <v>26</v>
      </c>
      <c r="E203" s="4" t="str">
        <f t="shared" si="19"/>
        <v>Sunday</v>
      </c>
      <c r="F203" s="4" t="str">
        <f t="shared" si="20"/>
        <v>March</v>
      </c>
      <c r="G203" s="3">
        <v>45011</v>
      </c>
      <c r="H203" s="4" t="s">
        <v>234</v>
      </c>
      <c r="I203" s="4" t="s">
        <v>22</v>
      </c>
      <c r="J203" s="4" t="str" cm="1">
        <f t="array" ref="J203">_xlfn.IFS(K203&lt;30,"Young Adult",K203&lt;50,"Adult",K203&gt;=50,"Senior")</f>
        <v>Adult</v>
      </c>
      <c r="K203" s="4">
        <v>34</v>
      </c>
      <c r="L203" s="4" t="s">
        <v>23</v>
      </c>
      <c r="M203" s="4">
        <v>4</v>
      </c>
      <c r="N203" s="16">
        <v>300</v>
      </c>
      <c r="O203" s="17">
        <f>M203*N203</f>
        <v>1200</v>
      </c>
      <c r="P203" s="13">
        <f>$O203*$U$4</f>
        <v>18</v>
      </c>
      <c r="Q203" s="13">
        <f>$O203*$U$5</f>
        <v>24</v>
      </c>
      <c r="R203" s="13" cm="1">
        <f t="array" ref="R203">_xlfn.IFS(B203=2023,O203*$U$4,B203=2024,O203*$U$5)</f>
        <v>18</v>
      </c>
    </row>
    <row r="204" spans="1:18">
      <c r="A204" s="2">
        <v>203</v>
      </c>
      <c r="B204" s="4">
        <f t="shared" si="16"/>
        <v>2023</v>
      </c>
      <c r="C204" s="4">
        <f t="shared" si="17"/>
        <v>5</v>
      </c>
      <c r="D204" s="4">
        <f t="shared" si="18"/>
        <v>16</v>
      </c>
      <c r="E204" s="4" t="str">
        <f t="shared" si="19"/>
        <v>Tuesday</v>
      </c>
      <c r="F204" s="4" t="str">
        <f t="shared" si="20"/>
        <v>May</v>
      </c>
      <c r="G204" s="3">
        <v>45062</v>
      </c>
      <c r="H204" s="4" t="s">
        <v>235</v>
      </c>
      <c r="I204" s="4" t="s">
        <v>19</v>
      </c>
      <c r="J204" s="4" t="str" cm="1">
        <f t="array" ref="J204">_xlfn.IFS(K204&lt;30,"Young Adult",K204&lt;50,"Adult",K204&gt;=50,"Senior")</f>
        <v>Senior</v>
      </c>
      <c r="K204" s="4">
        <v>56</v>
      </c>
      <c r="L204" s="4" t="s">
        <v>23</v>
      </c>
      <c r="M204" s="4">
        <v>2</v>
      </c>
      <c r="N204" s="16">
        <v>500</v>
      </c>
      <c r="O204" s="17">
        <f>M204*N204</f>
        <v>1000</v>
      </c>
      <c r="P204" s="13">
        <f>$O204*$U$4</f>
        <v>15</v>
      </c>
      <c r="Q204" s="13">
        <f>$O204*$U$5</f>
        <v>20</v>
      </c>
      <c r="R204" s="13" cm="1">
        <f t="array" ref="R204">_xlfn.IFS(B204=2023,O204*$U$4,B204=2024,O204*$U$5)</f>
        <v>15</v>
      </c>
    </row>
    <row r="205" spans="1:18">
      <c r="A205" s="2">
        <v>204</v>
      </c>
      <c r="B205" s="4">
        <f t="shared" si="16"/>
        <v>2023</v>
      </c>
      <c r="C205" s="4">
        <f t="shared" si="17"/>
        <v>9</v>
      </c>
      <c r="D205" s="4">
        <f t="shared" si="18"/>
        <v>28</v>
      </c>
      <c r="E205" s="4" t="str">
        <f t="shared" si="19"/>
        <v>Thursday</v>
      </c>
      <c r="F205" s="4" t="str">
        <f t="shared" si="20"/>
        <v>September</v>
      </c>
      <c r="G205" s="3">
        <v>45197</v>
      </c>
      <c r="H205" s="4" t="s">
        <v>236</v>
      </c>
      <c r="I205" s="4" t="s">
        <v>19</v>
      </c>
      <c r="J205" s="4" t="str" cm="1">
        <f t="array" ref="J205">_xlfn.IFS(K205&lt;30,"Young Adult",K205&lt;50,"Adult",K205&gt;=50,"Senior")</f>
        <v>Adult</v>
      </c>
      <c r="K205" s="4">
        <v>39</v>
      </c>
      <c r="L205" s="4" t="s">
        <v>20</v>
      </c>
      <c r="M205" s="4">
        <v>1</v>
      </c>
      <c r="N205" s="16">
        <v>25</v>
      </c>
      <c r="O205" s="17">
        <f>M205*N205</f>
        <v>25</v>
      </c>
      <c r="P205" s="13">
        <f>$O205*$U$4</f>
        <v>0.375</v>
      </c>
      <c r="Q205" s="13">
        <f>$O205*$U$5</f>
        <v>0.5</v>
      </c>
      <c r="R205" s="13" cm="1">
        <f t="array" ref="R205">_xlfn.IFS(B205=2023,O205*$U$4,B205=2024,O205*$U$5)</f>
        <v>0.375</v>
      </c>
    </row>
    <row r="206" spans="1:18">
      <c r="A206" s="2">
        <v>205</v>
      </c>
      <c r="B206" s="4">
        <f t="shared" si="16"/>
        <v>2023</v>
      </c>
      <c r="C206" s="4">
        <f t="shared" si="17"/>
        <v>11</v>
      </c>
      <c r="D206" s="4">
        <f t="shared" si="18"/>
        <v>7</v>
      </c>
      <c r="E206" s="4" t="str">
        <f t="shared" si="19"/>
        <v>Tuesday</v>
      </c>
      <c r="F206" s="4" t="str">
        <f t="shared" si="20"/>
        <v>November</v>
      </c>
      <c r="G206" s="3">
        <v>45237</v>
      </c>
      <c r="H206" s="4" t="s">
        <v>237</v>
      </c>
      <c r="I206" s="4" t="s">
        <v>22</v>
      </c>
      <c r="J206" s="4" t="str" cm="1">
        <f t="array" ref="J206">_xlfn.IFS(K206&lt;30,"Young Adult",K206&lt;50,"Adult",K206&gt;=50,"Senior")</f>
        <v>Adult</v>
      </c>
      <c r="K206" s="4">
        <v>43</v>
      </c>
      <c r="L206" s="4" t="s">
        <v>23</v>
      </c>
      <c r="M206" s="4">
        <v>1</v>
      </c>
      <c r="N206" s="16">
        <v>25</v>
      </c>
      <c r="O206" s="17">
        <f>M206*N206</f>
        <v>25</v>
      </c>
      <c r="P206" s="13">
        <f>$O206*$U$4</f>
        <v>0.375</v>
      </c>
      <c r="Q206" s="13">
        <f>$O206*$U$5</f>
        <v>0.5</v>
      </c>
      <c r="R206" s="13" cm="1">
        <f t="array" ref="R206">_xlfn.IFS(B206=2023,O206*$U$4,B206=2024,O206*$U$5)</f>
        <v>0.375</v>
      </c>
    </row>
    <row r="207" spans="1:18">
      <c r="A207" s="2">
        <v>206</v>
      </c>
      <c r="B207" s="4">
        <f t="shared" si="16"/>
        <v>2023</v>
      </c>
      <c r="C207" s="4">
        <f t="shared" si="17"/>
        <v>8</v>
      </c>
      <c r="D207" s="4">
        <f t="shared" si="18"/>
        <v>5</v>
      </c>
      <c r="E207" s="4" t="str">
        <f t="shared" si="19"/>
        <v>Saturday</v>
      </c>
      <c r="F207" s="4" t="str">
        <f t="shared" si="20"/>
        <v>August</v>
      </c>
      <c r="G207" s="3">
        <v>45143</v>
      </c>
      <c r="H207" s="4" t="s">
        <v>238</v>
      </c>
      <c r="I207" s="4" t="s">
        <v>19</v>
      </c>
      <c r="J207" s="4" t="str" cm="1">
        <f t="array" ref="J207">_xlfn.IFS(K207&lt;30,"Young Adult",K207&lt;50,"Adult",K207&gt;=50,"Senior")</f>
        <v>Senior</v>
      </c>
      <c r="K207" s="4">
        <v>61</v>
      </c>
      <c r="L207" s="4" t="s">
        <v>23</v>
      </c>
      <c r="M207" s="4">
        <v>1</v>
      </c>
      <c r="N207" s="16">
        <v>25</v>
      </c>
      <c r="O207" s="17">
        <f>M207*N207</f>
        <v>25</v>
      </c>
      <c r="P207" s="13">
        <f>$O207*$U$4</f>
        <v>0.375</v>
      </c>
      <c r="Q207" s="13">
        <f>$O207*$U$5</f>
        <v>0.5</v>
      </c>
      <c r="R207" s="13" cm="1">
        <f t="array" ref="R207">_xlfn.IFS(B207=2023,O207*$U$4,B207=2024,O207*$U$5)</f>
        <v>0.375</v>
      </c>
    </row>
    <row r="208" spans="1:18">
      <c r="A208" s="2">
        <v>207</v>
      </c>
      <c r="B208" s="4">
        <f t="shared" si="16"/>
        <v>2023</v>
      </c>
      <c r="C208" s="4">
        <f t="shared" si="17"/>
        <v>4</v>
      </c>
      <c r="D208" s="4">
        <f t="shared" si="18"/>
        <v>19</v>
      </c>
      <c r="E208" s="4" t="str">
        <f t="shared" si="19"/>
        <v>Wednesday</v>
      </c>
      <c r="F208" s="4" t="str">
        <f t="shared" si="20"/>
        <v>April</v>
      </c>
      <c r="G208" s="3">
        <v>45035</v>
      </c>
      <c r="H208" s="4" t="s">
        <v>239</v>
      </c>
      <c r="I208" s="4" t="s">
        <v>22</v>
      </c>
      <c r="J208" s="4" t="str" cm="1">
        <f t="array" ref="J208">_xlfn.IFS(K208&lt;30,"Young Adult",K208&lt;50,"Adult",K208&gt;=50,"Senior")</f>
        <v>Adult</v>
      </c>
      <c r="K208" s="4">
        <v>42</v>
      </c>
      <c r="L208" s="4" t="s">
        <v>20</v>
      </c>
      <c r="M208" s="4">
        <v>2</v>
      </c>
      <c r="N208" s="16">
        <v>25</v>
      </c>
      <c r="O208" s="17">
        <f>M208*N208</f>
        <v>50</v>
      </c>
      <c r="P208" s="13">
        <f>$O208*$U$4</f>
        <v>0.75</v>
      </c>
      <c r="Q208" s="13">
        <f>$O208*$U$5</f>
        <v>1</v>
      </c>
      <c r="R208" s="13" cm="1">
        <f t="array" ref="R208">_xlfn.IFS(B208=2023,O208*$U$4,B208=2024,O208*$U$5)</f>
        <v>0.75</v>
      </c>
    </row>
    <row r="209" spans="1:18">
      <c r="A209" s="2">
        <v>208</v>
      </c>
      <c r="B209" s="4">
        <f t="shared" si="16"/>
        <v>2023</v>
      </c>
      <c r="C209" s="4">
        <f t="shared" si="17"/>
        <v>10</v>
      </c>
      <c r="D209" s="4">
        <f t="shared" si="18"/>
        <v>4</v>
      </c>
      <c r="E209" s="4" t="str">
        <f t="shared" si="19"/>
        <v>Wednesday</v>
      </c>
      <c r="F209" s="4" t="str">
        <f t="shared" si="20"/>
        <v>October</v>
      </c>
      <c r="G209" s="3">
        <v>45203</v>
      </c>
      <c r="H209" s="4" t="s">
        <v>240</v>
      </c>
      <c r="I209" s="4" t="s">
        <v>22</v>
      </c>
      <c r="J209" s="4" t="str" cm="1">
        <f t="array" ref="J209">_xlfn.IFS(K209&lt;30,"Young Adult",K209&lt;50,"Adult",K209&gt;=50,"Senior")</f>
        <v>Adult</v>
      </c>
      <c r="K209" s="4">
        <v>34</v>
      </c>
      <c r="L209" s="4" t="s">
        <v>26</v>
      </c>
      <c r="M209" s="4">
        <v>4</v>
      </c>
      <c r="N209" s="16">
        <v>50</v>
      </c>
      <c r="O209" s="17">
        <f>M209*N209</f>
        <v>200</v>
      </c>
      <c r="P209" s="13">
        <f>$O209*$U$4</f>
        <v>3</v>
      </c>
      <c r="Q209" s="13">
        <f>$O209*$U$5</f>
        <v>4</v>
      </c>
      <c r="R209" s="13" cm="1">
        <f t="array" ref="R209">_xlfn.IFS(B209=2023,O209*$U$4,B209=2024,O209*$U$5)</f>
        <v>3</v>
      </c>
    </row>
    <row r="210" spans="1:18">
      <c r="A210" s="2">
        <v>209</v>
      </c>
      <c r="B210" s="4">
        <f t="shared" si="16"/>
        <v>2023</v>
      </c>
      <c r="C210" s="4">
        <f t="shared" si="17"/>
        <v>12</v>
      </c>
      <c r="D210" s="4">
        <f t="shared" si="18"/>
        <v>20</v>
      </c>
      <c r="E210" s="4" t="str">
        <f t="shared" si="19"/>
        <v>Wednesday</v>
      </c>
      <c r="F210" s="4" t="str">
        <f t="shared" si="20"/>
        <v>December</v>
      </c>
      <c r="G210" s="3">
        <v>45280</v>
      </c>
      <c r="H210" s="4" t="s">
        <v>241</v>
      </c>
      <c r="I210" s="4" t="s">
        <v>22</v>
      </c>
      <c r="J210" s="4" t="str" cm="1">
        <f t="array" ref="J210">_xlfn.IFS(K210&lt;30,"Young Adult",K210&lt;50,"Adult",K210&gt;=50,"Senior")</f>
        <v>Adult</v>
      </c>
      <c r="K210" s="4">
        <v>30</v>
      </c>
      <c r="L210" s="4" t="s">
        <v>26</v>
      </c>
      <c r="M210" s="4">
        <v>4</v>
      </c>
      <c r="N210" s="16">
        <v>50</v>
      </c>
      <c r="O210" s="17">
        <f>M210*N210</f>
        <v>200</v>
      </c>
      <c r="P210" s="13">
        <f>$O210*$U$4</f>
        <v>3</v>
      </c>
      <c r="Q210" s="13">
        <f>$O210*$U$5</f>
        <v>4</v>
      </c>
      <c r="R210" s="13" cm="1">
        <f t="array" ref="R210">_xlfn.IFS(B210=2023,O210*$U$4,B210=2024,O210*$U$5)</f>
        <v>3</v>
      </c>
    </row>
    <row r="211" spans="1:18">
      <c r="A211" s="2">
        <v>210</v>
      </c>
      <c r="B211" s="4">
        <f t="shared" si="16"/>
        <v>2023</v>
      </c>
      <c r="C211" s="4">
        <f t="shared" si="17"/>
        <v>4</v>
      </c>
      <c r="D211" s="4">
        <f t="shared" si="18"/>
        <v>13</v>
      </c>
      <c r="E211" s="4" t="str">
        <f t="shared" si="19"/>
        <v>Thursday</v>
      </c>
      <c r="F211" s="4" t="str">
        <f t="shared" si="20"/>
        <v>April</v>
      </c>
      <c r="G211" s="3">
        <v>45029</v>
      </c>
      <c r="H211" s="4" t="s">
        <v>242</v>
      </c>
      <c r="I211" s="4" t="s">
        <v>19</v>
      </c>
      <c r="J211" s="4" t="str" cm="1">
        <f t="array" ref="J211">_xlfn.IFS(K211&lt;30,"Young Adult",K211&lt;50,"Adult",K211&gt;=50,"Senior")</f>
        <v>Adult</v>
      </c>
      <c r="K211" s="4">
        <v>37</v>
      </c>
      <c r="L211" s="4" t="s">
        <v>26</v>
      </c>
      <c r="M211" s="4">
        <v>4</v>
      </c>
      <c r="N211" s="16">
        <v>50</v>
      </c>
      <c r="O211" s="17">
        <f>M211*N211</f>
        <v>200</v>
      </c>
      <c r="P211" s="13">
        <f>$O211*$U$4</f>
        <v>3</v>
      </c>
      <c r="Q211" s="13">
        <f>$O211*$U$5</f>
        <v>4</v>
      </c>
      <c r="R211" s="13" cm="1">
        <f t="array" ref="R211">_xlfn.IFS(B211=2023,O211*$U$4,B211=2024,O211*$U$5)</f>
        <v>3</v>
      </c>
    </row>
    <row r="212" spans="1:18">
      <c r="A212" s="2">
        <v>211</v>
      </c>
      <c r="B212" s="4">
        <f t="shared" si="16"/>
        <v>2024</v>
      </c>
      <c r="C212" s="4">
        <f t="shared" si="17"/>
        <v>1</v>
      </c>
      <c r="D212" s="4">
        <f t="shared" si="18"/>
        <v>1</v>
      </c>
      <c r="E212" s="4" t="str">
        <f t="shared" si="19"/>
        <v>Monday</v>
      </c>
      <c r="F212" s="4" t="str">
        <f t="shared" si="20"/>
        <v>January</v>
      </c>
      <c r="G212" s="3">
        <v>45292</v>
      </c>
      <c r="H212" s="4" t="s">
        <v>243</v>
      </c>
      <c r="I212" s="4" t="s">
        <v>19</v>
      </c>
      <c r="J212" s="4" t="str" cm="1">
        <f t="array" ref="J212">_xlfn.IFS(K212&lt;30,"Young Adult",K212&lt;50,"Adult",K212&gt;=50,"Senior")</f>
        <v>Adult</v>
      </c>
      <c r="K212" s="4">
        <v>42</v>
      </c>
      <c r="L212" s="4" t="s">
        <v>20</v>
      </c>
      <c r="M212" s="4">
        <v>3</v>
      </c>
      <c r="N212" s="16">
        <v>500</v>
      </c>
      <c r="O212" s="17">
        <f>M212*N212</f>
        <v>1500</v>
      </c>
      <c r="P212" s="13">
        <f>$O212*$U$4</f>
        <v>22.5</v>
      </c>
      <c r="Q212" s="13">
        <f>$O212*$U$5</f>
        <v>30</v>
      </c>
      <c r="R212" s="13" cm="1">
        <f t="array" ref="R212">_xlfn.IFS(B212=2023,O212*$U$4,B212=2024,O212*$U$5)</f>
        <v>30</v>
      </c>
    </row>
    <row r="213" spans="1:18">
      <c r="A213" s="2">
        <v>212</v>
      </c>
      <c r="B213" s="4">
        <f t="shared" si="16"/>
        <v>2023</v>
      </c>
      <c r="C213" s="4">
        <f t="shared" si="17"/>
        <v>6</v>
      </c>
      <c r="D213" s="4">
        <f t="shared" si="18"/>
        <v>9</v>
      </c>
      <c r="E213" s="4" t="str">
        <f t="shared" si="19"/>
        <v>Friday</v>
      </c>
      <c r="F213" s="4" t="str">
        <f t="shared" si="20"/>
        <v>June</v>
      </c>
      <c r="G213" s="3">
        <v>45086</v>
      </c>
      <c r="H213" s="4" t="s">
        <v>244</v>
      </c>
      <c r="I213" s="4" t="s">
        <v>19</v>
      </c>
      <c r="J213" s="4" t="str" cm="1">
        <f t="array" ref="J213">_xlfn.IFS(K213&lt;30,"Young Adult",K213&lt;50,"Adult",K213&gt;=50,"Senior")</f>
        <v>Young Adult</v>
      </c>
      <c r="K213" s="4">
        <v>21</v>
      </c>
      <c r="L213" s="4" t="s">
        <v>23</v>
      </c>
      <c r="M213" s="4">
        <v>3</v>
      </c>
      <c r="N213" s="16">
        <v>500</v>
      </c>
      <c r="O213" s="17">
        <f>M213*N213</f>
        <v>1500</v>
      </c>
      <c r="P213" s="13">
        <f>$O213*$U$4</f>
        <v>22.5</v>
      </c>
      <c r="Q213" s="13">
        <f>$O213*$U$5</f>
        <v>30</v>
      </c>
      <c r="R213" s="13" cm="1">
        <f t="array" ref="R213">_xlfn.IFS(B213=2023,O213*$U$4,B213=2024,O213*$U$5)</f>
        <v>22.5</v>
      </c>
    </row>
    <row r="214" spans="1:18">
      <c r="A214" s="2">
        <v>213</v>
      </c>
      <c r="B214" s="4">
        <f t="shared" si="16"/>
        <v>2023</v>
      </c>
      <c r="C214" s="4">
        <f t="shared" si="17"/>
        <v>7</v>
      </c>
      <c r="D214" s="4">
        <f t="shared" si="18"/>
        <v>24</v>
      </c>
      <c r="E214" s="4" t="str">
        <f t="shared" si="19"/>
        <v>Monday</v>
      </c>
      <c r="F214" s="4" t="str">
        <f t="shared" si="20"/>
        <v>July</v>
      </c>
      <c r="G214" s="3">
        <v>45131</v>
      </c>
      <c r="H214" s="4" t="s">
        <v>245</v>
      </c>
      <c r="I214" s="4" t="s">
        <v>19</v>
      </c>
      <c r="J214" s="4" t="str" cm="1">
        <f t="array" ref="J214">_xlfn.IFS(K214&lt;30,"Young Adult",K214&lt;50,"Adult",K214&gt;=50,"Senior")</f>
        <v>Young Adult</v>
      </c>
      <c r="K214" s="4">
        <v>27</v>
      </c>
      <c r="L214" s="4" t="s">
        <v>20</v>
      </c>
      <c r="M214" s="4">
        <v>3</v>
      </c>
      <c r="N214" s="16">
        <v>500</v>
      </c>
      <c r="O214" s="17">
        <f>M214*N214</f>
        <v>1500</v>
      </c>
      <c r="P214" s="13">
        <f>$O214*$U$4</f>
        <v>22.5</v>
      </c>
      <c r="Q214" s="13">
        <f>$O214*$U$5</f>
        <v>30</v>
      </c>
      <c r="R214" s="13" cm="1">
        <f t="array" ref="R214">_xlfn.IFS(B214=2023,O214*$U$4,B214=2024,O214*$U$5)</f>
        <v>22.5</v>
      </c>
    </row>
    <row r="215" spans="1:18">
      <c r="A215" s="2">
        <v>214</v>
      </c>
      <c r="B215" s="4">
        <f t="shared" si="16"/>
        <v>2023</v>
      </c>
      <c r="C215" s="4">
        <f t="shared" si="17"/>
        <v>12</v>
      </c>
      <c r="D215" s="4">
        <f t="shared" si="18"/>
        <v>10</v>
      </c>
      <c r="E215" s="4" t="str">
        <f t="shared" si="19"/>
        <v>Sunday</v>
      </c>
      <c r="F215" s="4" t="str">
        <f t="shared" si="20"/>
        <v>December</v>
      </c>
      <c r="G215" s="3">
        <v>45270</v>
      </c>
      <c r="H215" s="4" t="s">
        <v>246</v>
      </c>
      <c r="I215" s="4" t="s">
        <v>19</v>
      </c>
      <c r="J215" s="4" t="str" cm="1">
        <f t="array" ref="J215">_xlfn.IFS(K215&lt;30,"Young Adult",K215&lt;50,"Adult",K215&gt;=50,"Senior")</f>
        <v>Young Adult</v>
      </c>
      <c r="K215" s="4">
        <v>20</v>
      </c>
      <c r="L215" s="4" t="s">
        <v>20</v>
      </c>
      <c r="M215" s="4">
        <v>2</v>
      </c>
      <c r="N215" s="16">
        <v>30</v>
      </c>
      <c r="O215" s="17">
        <f>M215*N215</f>
        <v>60</v>
      </c>
      <c r="P215" s="13">
        <f>$O215*$U$4</f>
        <v>0.89999999999999991</v>
      </c>
      <c r="Q215" s="13">
        <f>$O215*$U$5</f>
        <v>1.2</v>
      </c>
      <c r="R215" s="13" cm="1">
        <f t="array" ref="R215">_xlfn.IFS(B215=2023,O215*$U$4,B215=2024,O215*$U$5)</f>
        <v>0.89999999999999991</v>
      </c>
    </row>
    <row r="216" spans="1:18">
      <c r="A216" s="2">
        <v>215</v>
      </c>
      <c r="B216" s="4">
        <f t="shared" si="16"/>
        <v>2023</v>
      </c>
      <c r="C216" s="4">
        <f t="shared" si="17"/>
        <v>11</v>
      </c>
      <c r="D216" s="4">
        <f t="shared" si="18"/>
        <v>29</v>
      </c>
      <c r="E216" s="4" t="str">
        <f t="shared" si="19"/>
        <v>Wednesday</v>
      </c>
      <c r="F216" s="4" t="str">
        <f t="shared" si="20"/>
        <v>November</v>
      </c>
      <c r="G216" s="3">
        <v>45259</v>
      </c>
      <c r="H216" s="4" t="s">
        <v>247</v>
      </c>
      <c r="I216" s="4" t="s">
        <v>19</v>
      </c>
      <c r="J216" s="4" t="str" cm="1">
        <f t="array" ref="J216">_xlfn.IFS(K216&lt;30,"Young Adult",K216&lt;50,"Adult",K216&gt;=50,"Senior")</f>
        <v>Senior</v>
      </c>
      <c r="K216" s="4">
        <v>58</v>
      </c>
      <c r="L216" s="4" t="s">
        <v>23</v>
      </c>
      <c r="M216" s="4">
        <v>3</v>
      </c>
      <c r="N216" s="16">
        <v>500</v>
      </c>
      <c r="O216" s="17">
        <f>M216*N216</f>
        <v>1500</v>
      </c>
      <c r="P216" s="13">
        <f>$O216*$U$4</f>
        <v>22.5</v>
      </c>
      <c r="Q216" s="13">
        <f>$O216*$U$5</f>
        <v>30</v>
      </c>
      <c r="R216" s="13" cm="1">
        <f t="array" ref="R216">_xlfn.IFS(B216=2023,O216*$U$4,B216=2024,O216*$U$5)</f>
        <v>22.5</v>
      </c>
    </row>
    <row r="217" spans="1:18">
      <c r="A217" s="2">
        <v>216</v>
      </c>
      <c r="B217" s="4">
        <f t="shared" si="16"/>
        <v>2023</v>
      </c>
      <c r="C217" s="4">
        <f t="shared" si="17"/>
        <v>7</v>
      </c>
      <c r="D217" s="4">
        <f t="shared" si="18"/>
        <v>11</v>
      </c>
      <c r="E217" s="4" t="str">
        <f t="shared" si="19"/>
        <v>Tuesday</v>
      </c>
      <c r="F217" s="4" t="str">
        <f t="shared" si="20"/>
        <v>July</v>
      </c>
      <c r="G217" s="3">
        <v>45118</v>
      </c>
      <c r="H217" s="4" t="s">
        <v>248</v>
      </c>
      <c r="I217" s="4" t="s">
        <v>19</v>
      </c>
      <c r="J217" s="4" t="str" cm="1">
        <f t="array" ref="J217">_xlfn.IFS(K217&lt;30,"Young Adult",K217&lt;50,"Adult",K217&gt;=50,"Senior")</f>
        <v>Senior</v>
      </c>
      <c r="K217" s="4">
        <v>62</v>
      </c>
      <c r="L217" s="4" t="s">
        <v>26</v>
      </c>
      <c r="M217" s="4">
        <v>2</v>
      </c>
      <c r="N217" s="16">
        <v>50</v>
      </c>
      <c r="O217" s="17">
        <f>M217*N217</f>
        <v>100</v>
      </c>
      <c r="P217" s="13">
        <f>$O217*$U$4</f>
        <v>1.5</v>
      </c>
      <c r="Q217" s="13">
        <f>$O217*$U$5</f>
        <v>2</v>
      </c>
      <c r="R217" s="13" cm="1">
        <f t="array" ref="R217">_xlfn.IFS(B217=2023,O217*$U$4,B217=2024,O217*$U$5)</f>
        <v>1.5</v>
      </c>
    </row>
    <row r="218" spans="1:18">
      <c r="A218" s="2">
        <v>217</v>
      </c>
      <c r="B218" s="4">
        <f t="shared" si="16"/>
        <v>2023</v>
      </c>
      <c r="C218" s="4">
        <f t="shared" si="17"/>
        <v>8</v>
      </c>
      <c r="D218" s="4">
        <f t="shared" si="18"/>
        <v>13</v>
      </c>
      <c r="E218" s="4" t="str">
        <f t="shared" si="19"/>
        <v>Sunday</v>
      </c>
      <c r="F218" s="4" t="str">
        <f t="shared" si="20"/>
        <v>August</v>
      </c>
      <c r="G218" s="3">
        <v>45151</v>
      </c>
      <c r="H218" s="4" t="s">
        <v>249</v>
      </c>
      <c r="I218" s="4" t="s">
        <v>22</v>
      </c>
      <c r="J218" s="4" t="str" cm="1">
        <f t="array" ref="J218">_xlfn.IFS(K218&lt;30,"Young Adult",K218&lt;50,"Adult",K218&gt;=50,"Senior")</f>
        <v>Adult</v>
      </c>
      <c r="K218" s="4">
        <v>35</v>
      </c>
      <c r="L218" s="4" t="s">
        <v>26</v>
      </c>
      <c r="M218" s="4">
        <v>4</v>
      </c>
      <c r="N218" s="16">
        <v>50</v>
      </c>
      <c r="O218" s="17">
        <f>M218*N218</f>
        <v>200</v>
      </c>
      <c r="P218" s="13">
        <f>$O218*$U$4</f>
        <v>3</v>
      </c>
      <c r="Q218" s="13">
        <f>$O218*$U$5</f>
        <v>4</v>
      </c>
      <c r="R218" s="13" cm="1">
        <f t="array" ref="R218">_xlfn.IFS(B218=2023,O218*$U$4,B218=2024,O218*$U$5)</f>
        <v>3</v>
      </c>
    </row>
    <row r="219" spans="1:18">
      <c r="A219" s="2">
        <v>218</v>
      </c>
      <c r="B219" s="4">
        <f t="shared" si="16"/>
        <v>2023</v>
      </c>
      <c r="C219" s="4">
        <f t="shared" si="17"/>
        <v>9</v>
      </c>
      <c r="D219" s="4">
        <f t="shared" si="18"/>
        <v>22</v>
      </c>
      <c r="E219" s="4" t="str">
        <f t="shared" si="19"/>
        <v>Friday</v>
      </c>
      <c r="F219" s="4" t="str">
        <f t="shared" si="20"/>
        <v>September</v>
      </c>
      <c r="G219" s="3">
        <v>45191</v>
      </c>
      <c r="H219" s="4" t="s">
        <v>250</v>
      </c>
      <c r="I219" s="4" t="s">
        <v>19</v>
      </c>
      <c r="J219" s="4" t="str" cm="1">
        <f t="array" ref="J219">_xlfn.IFS(K219&lt;30,"Young Adult",K219&lt;50,"Adult",K219&gt;=50,"Senior")</f>
        <v>Senior</v>
      </c>
      <c r="K219" s="4">
        <v>64</v>
      </c>
      <c r="L219" s="4" t="s">
        <v>20</v>
      </c>
      <c r="M219" s="4">
        <v>3</v>
      </c>
      <c r="N219" s="16">
        <v>30</v>
      </c>
      <c r="O219" s="17">
        <f>M219*N219</f>
        <v>90</v>
      </c>
      <c r="P219" s="13">
        <f>$O219*$U$4</f>
        <v>1.3499999999999999</v>
      </c>
      <c r="Q219" s="13">
        <f>$O219*$U$5</f>
        <v>1.8</v>
      </c>
      <c r="R219" s="13" cm="1">
        <f t="array" ref="R219">_xlfn.IFS(B219=2023,O219*$U$4,B219=2024,O219*$U$5)</f>
        <v>1.3499999999999999</v>
      </c>
    </row>
    <row r="220" spans="1:18">
      <c r="A220" s="2">
        <v>219</v>
      </c>
      <c r="B220" s="4">
        <f t="shared" si="16"/>
        <v>2023</v>
      </c>
      <c r="C220" s="4">
        <f t="shared" si="17"/>
        <v>8</v>
      </c>
      <c r="D220" s="4">
        <f t="shared" si="18"/>
        <v>20</v>
      </c>
      <c r="E220" s="4" t="str">
        <f t="shared" si="19"/>
        <v>Sunday</v>
      </c>
      <c r="F220" s="4" t="str">
        <f t="shared" si="20"/>
        <v>August</v>
      </c>
      <c r="G220" s="3">
        <v>45158</v>
      </c>
      <c r="H220" s="4" t="s">
        <v>251</v>
      </c>
      <c r="I220" s="4" t="s">
        <v>22</v>
      </c>
      <c r="J220" s="4" t="str" cm="1">
        <f t="array" ref="J220">_xlfn.IFS(K220&lt;30,"Young Adult",K220&lt;50,"Adult",K220&gt;=50,"Senior")</f>
        <v>Senior</v>
      </c>
      <c r="K220" s="4">
        <v>53</v>
      </c>
      <c r="L220" s="4" t="s">
        <v>26</v>
      </c>
      <c r="M220" s="4">
        <v>3</v>
      </c>
      <c r="N220" s="16">
        <v>30</v>
      </c>
      <c r="O220" s="17">
        <f>M220*N220</f>
        <v>90</v>
      </c>
      <c r="P220" s="13">
        <f>$O220*$U$4</f>
        <v>1.3499999999999999</v>
      </c>
      <c r="Q220" s="13">
        <f>$O220*$U$5</f>
        <v>1.8</v>
      </c>
      <c r="R220" s="13" cm="1">
        <f t="array" ref="R220">_xlfn.IFS(B220=2023,O220*$U$4,B220=2024,O220*$U$5)</f>
        <v>1.3499999999999999</v>
      </c>
    </row>
    <row r="221" spans="1:18">
      <c r="A221" s="2">
        <v>220</v>
      </c>
      <c r="B221" s="4">
        <f t="shared" si="16"/>
        <v>2023</v>
      </c>
      <c r="C221" s="4">
        <f t="shared" si="17"/>
        <v>3</v>
      </c>
      <c r="D221" s="4">
        <f t="shared" si="18"/>
        <v>3</v>
      </c>
      <c r="E221" s="4" t="str">
        <f t="shared" si="19"/>
        <v>Friday</v>
      </c>
      <c r="F221" s="4" t="str">
        <f t="shared" si="20"/>
        <v>March</v>
      </c>
      <c r="G221" s="3">
        <v>44988</v>
      </c>
      <c r="H221" s="4" t="s">
        <v>252</v>
      </c>
      <c r="I221" s="4" t="s">
        <v>19</v>
      </c>
      <c r="J221" s="4" t="str" cm="1">
        <f t="array" ref="J221">_xlfn.IFS(K221&lt;30,"Young Adult",K221&lt;50,"Adult",K221&gt;=50,"Senior")</f>
        <v>Senior</v>
      </c>
      <c r="K221" s="4">
        <v>64</v>
      </c>
      <c r="L221" s="4" t="s">
        <v>20</v>
      </c>
      <c r="M221" s="4">
        <v>1</v>
      </c>
      <c r="N221" s="16">
        <v>500</v>
      </c>
      <c r="O221" s="17">
        <f>M221*N221</f>
        <v>500</v>
      </c>
      <c r="P221" s="13">
        <f>$O221*$U$4</f>
        <v>7.5</v>
      </c>
      <c r="Q221" s="13">
        <f>$O221*$U$5</f>
        <v>10</v>
      </c>
      <c r="R221" s="13" cm="1">
        <f t="array" ref="R221">_xlfn.IFS(B221=2023,O221*$U$4,B221=2024,O221*$U$5)</f>
        <v>7.5</v>
      </c>
    </row>
    <row r="222" spans="1:18">
      <c r="A222" s="2">
        <v>221</v>
      </c>
      <c r="B222" s="4">
        <f t="shared" si="16"/>
        <v>2023</v>
      </c>
      <c r="C222" s="4">
        <f t="shared" si="17"/>
        <v>5</v>
      </c>
      <c r="D222" s="4">
        <f t="shared" si="18"/>
        <v>7</v>
      </c>
      <c r="E222" s="4" t="str">
        <f t="shared" si="19"/>
        <v>Sunday</v>
      </c>
      <c r="F222" s="4" t="str">
        <f t="shared" si="20"/>
        <v>May</v>
      </c>
      <c r="G222" s="3">
        <v>45053</v>
      </c>
      <c r="H222" s="4" t="s">
        <v>253</v>
      </c>
      <c r="I222" s="4" t="s">
        <v>19</v>
      </c>
      <c r="J222" s="4" t="str" cm="1">
        <f t="array" ref="J222">_xlfn.IFS(K222&lt;30,"Young Adult",K222&lt;50,"Adult",K222&gt;=50,"Senior")</f>
        <v>Adult</v>
      </c>
      <c r="K222" s="4">
        <v>39</v>
      </c>
      <c r="L222" s="4" t="s">
        <v>20</v>
      </c>
      <c r="M222" s="4">
        <v>2</v>
      </c>
      <c r="N222" s="16">
        <v>300</v>
      </c>
      <c r="O222" s="17">
        <f>M222*N222</f>
        <v>600</v>
      </c>
      <c r="P222" s="13">
        <f>$O222*$U$4</f>
        <v>9</v>
      </c>
      <c r="Q222" s="13">
        <f>$O222*$U$5</f>
        <v>12</v>
      </c>
      <c r="R222" s="13" cm="1">
        <f t="array" ref="R222">_xlfn.IFS(B222=2023,O222*$U$4,B222=2024,O222*$U$5)</f>
        <v>9</v>
      </c>
    </row>
    <row r="223" spans="1:18">
      <c r="A223" s="2">
        <v>222</v>
      </c>
      <c r="B223" s="4">
        <f t="shared" si="16"/>
        <v>2023</v>
      </c>
      <c r="C223" s="4">
        <f t="shared" si="17"/>
        <v>4</v>
      </c>
      <c r="D223" s="4">
        <f t="shared" si="18"/>
        <v>26</v>
      </c>
      <c r="E223" s="4" t="str">
        <f t="shared" si="19"/>
        <v>Wednesday</v>
      </c>
      <c r="F223" s="4" t="str">
        <f t="shared" si="20"/>
        <v>April</v>
      </c>
      <c r="G223" s="3">
        <v>45042</v>
      </c>
      <c r="H223" s="4" t="s">
        <v>254</v>
      </c>
      <c r="I223" s="4" t="s">
        <v>19</v>
      </c>
      <c r="J223" s="4" t="str" cm="1">
        <f t="array" ref="J223">_xlfn.IFS(K223&lt;30,"Young Adult",K223&lt;50,"Adult",K223&gt;=50,"Senior")</f>
        <v>Senior</v>
      </c>
      <c r="K223" s="4">
        <v>51</v>
      </c>
      <c r="L223" s="4" t="s">
        <v>23</v>
      </c>
      <c r="M223" s="4">
        <v>4</v>
      </c>
      <c r="N223" s="16">
        <v>30</v>
      </c>
      <c r="O223" s="17">
        <f>M223*N223</f>
        <v>120</v>
      </c>
      <c r="P223" s="13">
        <f>$O223*$U$4</f>
        <v>1.7999999999999998</v>
      </c>
      <c r="Q223" s="13">
        <f>$O223*$U$5</f>
        <v>2.4</v>
      </c>
      <c r="R223" s="13" cm="1">
        <f t="array" ref="R223">_xlfn.IFS(B223=2023,O223*$U$4,B223=2024,O223*$U$5)</f>
        <v>1.7999999999999998</v>
      </c>
    </row>
    <row r="224" spans="1:18">
      <c r="A224" s="2">
        <v>223</v>
      </c>
      <c r="B224" s="4">
        <f t="shared" si="16"/>
        <v>2023</v>
      </c>
      <c r="C224" s="4">
        <f t="shared" si="17"/>
        <v>2</v>
      </c>
      <c r="D224" s="4">
        <f t="shared" si="18"/>
        <v>2</v>
      </c>
      <c r="E224" s="4" t="str">
        <f t="shared" si="19"/>
        <v>Thursday</v>
      </c>
      <c r="F224" s="4" t="str">
        <f t="shared" si="20"/>
        <v>February</v>
      </c>
      <c r="G224" s="3">
        <v>44959</v>
      </c>
      <c r="H224" s="4" t="s">
        <v>255</v>
      </c>
      <c r="I224" s="4" t="s">
        <v>22</v>
      </c>
      <c r="J224" s="4" t="str" cm="1">
        <f t="array" ref="J224">_xlfn.IFS(K224&lt;30,"Young Adult",K224&lt;50,"Adult",K224&gt;=50,"Senior")</f>
        <v>Senior</v>
      </c>
      <c r="K224" s="4">
        <v>64</v>
      </c>
      <c r="L224" s="4" t="s">
        <v>23</v>
      </c>
      <c r="M224" s="4">
        <v>1</v>
      </c>
      <c r="N224" s="16">
        <v>25</v>
      </c>
      <c r="O224" s="17">
        <f>M224*N224</f>
        <v>25</v>
      </c>
      <c r="P224" s="13">
        <f>$O224*$U$4</f>
        <v>0.375</v>
      </c>
      <c r="Q224" s="13">
        <f>$O224*$U$5</f>
        <v>0.5</v>
      </c>
      <c r="R224" s="13" cm="1">
        <f t="array" ref="R224">_xlfn.IFS(B224=2023,O224*$U$4,B224=2024,O224*$U$5)</f>
        <v>0.375</v>
      </c>
    </row>
    <row r="225" spans="1:18">
      <c r="A225" s="2">
        <v>224</v>
      </c>
      <c r="B225" s="4">
        <f t="shared" si="16"/>
        <v>2023</v>
      </c>
      <c r="C225" s="4">
        <f t="shared" si="17"/>
        <v>6</v>
      </c>
      <c r="D225" s="4">
        <f t="shared" si="18"/>
        <v>23</v>
      </c>
      <c r="E225" s="4" t="str">
        <f t="shared" si="19"/>
        <v>Friday</v>
      </c>
      <c r="F225" s="4" t="str">
        <f t="shared" si="20"/>
        <v>June</v>
      </c>
      <c r="G225" s="3">
        <v>45100</v>
      </c>
      <c r="H225" s="4" t="s">
        <v>256</v>
      </c>
      <c r="I225" s="4" t="s">
        <v>22</v>
      </c>
      <c r="J225" s="4" t="str" cm="1">
        <f t="array" ref="J225">_xlfn.IFS(K225&lt;30,"Young Adult",K225&lt;50,"Adult",K225&gt;=50,"Senior")</f>
        <v>Young Adult</v>
      </c>
      <c r="K225" s="4">
        <v>25</v>
      </c>
      <c r="L225" s="4" t="s">
        <v>23</v>
      </c>
      <c r="M225" s="4">
        <v>1</v>
      </c>
      <c r="N225" s="16">
        <v>50</v>
      </c>
      <c r="O225" s="17">
        <f>M225*N225</f>
        <v>50</v>
      </c>
      <c r="P225" s="13">
        <f>$O225*$U$4</f>
        <v>0.75</v>
      </c>
      <c r="Q225" s="13">
        <f>$O225*$U$5</f>
        <v>1</v>
      </c>
      <c r="R225" s="13" cm="1">
        <f t="array" ref="R225">_xlfn.IFS(B225=2023,O225*$U$4,B225=2024,O225*$U$5)</f>
        <v>0.75</v>
      </c>
    </row>
    <row r="226" spans="1:18">
      <c r="A226" s="2">
        <v>225</v>
      </c>
      <c r="B226" s="4">
        <f t="shared" si="16"/>
        <v>2023</v>
      </c>
      <c r="C226" s="4">
        <f t="shared" si="17"/>
        <v>1</v>
      </c>
      <c r="D226" s="4">
        <f t="shared" si="18"/>
        <v>11</v>
      </c>
      <c r="E226" s="4" t="str">
        <f t="shared" si="19"/>
        <v>Wednesday</v>
      </c>
      <c r="F226" s="4" t="str">
        <f t="shared" si="20"/>
        <v>January</v>
      </c>
      <c r="G226" s="3">
        <v>44937</v>
      </c>
      <c r="H226" s="4" t="s">
        <v>257</v>
      </c>
      <c r="I226" s="4" t="s">
        <v>22</v>
      </c>
      <c r="J226" s="4" t="str" cm="1">
        <f t="array" ref="J226">_xlfn.IFS(K226&lt;30,"Young Adult",K226&lt;50,"Adult",K226&gt;=50,"Senior")</f>
        <v>Senior</v>
      </c>
      <c r="K226" s="4">
        <v>57</v>
      </c>
      <c r="L226" s="4" t="s">
        <v>20</v>
      </c>
      <c r="M226" s="4">
        <v>4</v>
      </c>
      <c r="N226" s="16">
        <v>25</v>
      </c>
      <c r="O226" s="17">
        <f>M226*N226</f>
        <v>100</v>
      </c>
      <c r="P226" s="13">
        <f>$O226*$U$4</f>
        <v>1.5</v>
      </c>
      <c r="Q226" s="13">
        <f>$O226*$U$5</f>
        <v>2</v>
      </c>
      <c r="R226" s="13" cm="1">
        <f t="array" ref="R226">_xlfn.IFS(B226=2023,O226*$U$4,B226=2024,O226*$U$5)</f>
        <v>1.5</v>
      </c>
    </row>
    <row r="227" spans="1:18">
      <c r="A227" s="2">
        <v>226</v>
      </c>
      <c r="B227" s="4">
        <f t="shared" si="16"/>
        <v>2023</v>
      </c>
      <c r="C227" s="4">
        <f t="shared" si="17"/>
        <v>10</v>
      </c>
      <c r="D227" s="4">
        <f t="shared" si="18"/>
        <v>29</v>
      </c>
      <c r="E227" s="4" t="str">
        <f t="shared" si="19"/>
        <v>Sunday</v>
      </c>
      <c r="F227" s="4" t="str">
        <f t="shared" si="20"/>
        <v>October</v>
      </c>
      <c r="G227" s="3">
        <v>45228</v>
      </c>
      <c r="H227" s="4" t="s">
        <v>258</v>
      </c>
      <c r="I227" s="4" t="s">
        <v>22</v>
      </c>
      <c r="J227" s="4" t="str" cm="1">
        <f t="array" ref="J227">_xlfn.IFS(K227&lt;30,"Young Adult",K227&lt;50,"Adult",K227&gt;=50,"Senior")</f>
        <v>Senior</v>
      </c>
      <c r="K227" s="4">
        <v>61</v>
      </c>
      <c r="L227" s="4" t="s">
        <v>23</v>
      </c>
      <c r="M227" s="4">
        <v>1</v>
      </c>
      <c r="N227" s="16">
        <v>50</v>
      </c>
      <c r="O227" s="17">
        <f>M227*N227</f>
        <v>50</v>
      </c>
      <c r="P227" s="13">
        <f>$O227*$U$4</f>
        <v>0.75</v>
      </c>
      <c r="Q227" s="13">
        <f>$O227*$U$5</f>
        <v>1</v>
      </c>
      <c r="R227" s="13" cm="1">
        <f t="array" ref="R227">_xlfn.IFS(B227=2023,O227*$U$4,B227=2024,O227*$U$5)</f>
        <v>0.75</v>
      </c>
    </row>
    <row r="228" spans="1:18">
      <c r="A228" s="2">
        <v>227</v>
      </c>
      <c r="B228" s="4">
        <f t="shared" si="16"/>
        <v>2023</v>
      </c>
      <c r="C228" s="4">
        <f t="shared" si="17"/>
        <v>10</v>
      </c>
      <c r="D228" s="4">
        <f t="shared" si="18"/>
        <v>11</v>
      </c>
      <c r="E228" s="4" t="str">
        <f t="shared" si="19"/>
        <v>Wednesday</v>
      </c>
      <c r="F228" s="4" t="str">
        <f t="shared" si="20"/>
        <v>October</v>
      </c>
      <c r="G228" s="3">
        <v>45210</v>
      </c>
      <c r="H228" s="4" t="s">
        <v>259</v>
      </c>
      <c r="I228" s="4" t="s">
        <v>19</v>
      </c>
      <c r="J228" s="4" t="str" cm="1">
        <f t="array" ref="J228">_xlfn.IFS(K228&lt;30,"Young Adult",K228&lt;50,"Adult",K228&gt;=50,"Senior")</f>
        <v>Adult</v>
      </c>
      <c r="K228" s="4">
        <v>36</v>
      </c>
      <c r="L228" s="4" t="s">
        <v>26</v>
      </c>
      <c r="M228" s="4">
        <v>2</v>
      </c>
      <c r="N228" s="16">
        <v>50</v>
      </c>
      <c r="O228" s="17">
        <f>M228*N228</f>
        <v>100</v>
      </c>
      <c r="P228" s="13">
        <f>$O228*$U$4</f>
        <v>1.5</v>
      </c>
      <c r="Q228" s="13">
        <f>$O228*$U$5</f>
        <v>2</v>
      </c>
      <c r="R228" s="13" cm="1">
        <f t="array" ref="R228">_xlfn.IFS(B228=2023,O228*$U$4,B228=2024,O228*$U$5)</f>
        <v>1.5</v>
      </c>
    </row>
    <row r="229" spans="1:18">
      <c r="A229" s="2">
        <v>228</v>
      </c>
      <c r="B229" s="4">
        <f t="shared" si="16"/>
        <v>2023</v>
      </c>
      <c r="C229" s="4">
        <f t="shared" si="17"/>
        <v>4</v>
      </c>
      <c r="D229" s="4">
        <f t="shared" si="18"/>
        <v>28</v>
      </c>
      <c r="E229" s="4" t="str">
        <f t="shared" si="19"/>
        <v>Friday</v>
      </c>
      <c r="F229" s="4" t="str">
        <f t="shared" si="20"/>
        <v>April</v>
      </c>
      <c r="G229" s="3">
        <v>45044</v>
      </c>
      <c r="H229" s="4" t="s">
        <v>260</v>
      </c>
      <c r="I229" s="4" t="s">
        <v>22</v>
      </c>
      <c r="J229" s="4" t="str" cm="1">
        <f t="array" ref="J229">_xlfn.IFS(K229&lt;30,"Young Adult",K229&lt;50,"Adult",K229&gt;=50,"Senior")</f>
        <v>Senior</v>
      </c>
      <c r="K229" s="4">
        <v>59</v>
      </c>
      <c r="L229" s="4" t="s">
        <v>26</v>
      </c>
      <c r="M229" s="4">
        <v>2</v>
      </c>
      <c r="N229" s="16">
        <v>30</v>
      </c>
      <c r="O229" s="17">
        <f>M229*N229</f>
        <v>60</v>
      </c>
      <c r="P229" s="13">
        <f>$O229*$U$4</f>
        <v>0.89999999999999991</v>
      </c>
      <c r="Q229" s="13">
        <f>$O229*$U$5</f>
        <v>1.2</v>
      </c>
      <c r="R229" s="13" cm="1">
        <f t="array" ref="R229">_xlfn.IFS(B229=2023,O229*$U$4,B229=2024,O229*$U$5)</f>
        <v>0.89999999999999991</v>
      </c>
    </row>
    <row r="230" spans="1:18">
      <c r="A230" s="2">
        <v>229</v>
      </c>
      <c r="B230" s="4">
        <f t="shared" si="16"/>
        <v>2023</v>
      </c>
      <c r="C230" s="4">
        <f t="shared" si="17"/>
        <v>10</v>
      </c>
      <c r="D230" s="4">
        <f t="shared" si="18"/>
        <v>29</v>
      </c>
      <c r="E230" s="4" t="str">
        <f t="shared" si="19"/>
        <v>Sunday</v>
      </c>
      <c r="F230" s="4" t="str">
        <f t="shared" si="20"/>
        <v>October</v>
      </c>
      <c r="G230" s="3">
        <v>45228</v>
      </c>
      <c r="H230" s="4" t="s">
        <v>261</v>
      </c>
      <c r="I230" s="4" t="s">
        <v>19</v>
      </c>
      <c r="J230" s="4" t="str" cm="1">
        <f t="array" ref="J230">_xlfn.IFS(K230&lt;30,"Young Adult",K230&lt;50,"Adult",K230&gt;=50,"Senior")</f>
        <v>Senior</v>
      </c>
      <c r="K230" s="4">
        <v>58</v>
      </c>
      <c r="L230" s="4" t="s">
        <v>20</v>
      </c>
      <c r="M230" s="4">
        <v>3</v>
      </c>
      <c r="N230" s="16">
        <v>30</v>
      </c>
      <c r="O230" s="17">
        <f>M230*N230</f>
        <v>90</v>
      </c>
      <c r="P230" s="13">
        <f>$O230*$U$4</f>
        <v>1.3499999999999999</v>
      </c>
      <c r="Q230" s="13">
        <f>$O230*$U$5</f>
        <v>1.8</v>
      </c>
      <c r="R230" s="13" cm="1">
        <f t="array" ref="R230">_xlfn.IFS(B230=2023,O230*$U$4,B230=2024,O230*$U$5)</f>
        <v>1.3499999999999999</v>
      </c>
    </row>
    <row r="231" spans="1:18">
      <c r="A231" s="2">
        <v>230</v>
      </c>
      <c r="B231" s="4">
        <f t="shared" si="16"/>
        <v>2023</v>
      </c>
      <c r="C231" s="4">
        <f t="shared" si="17"/>
        <v>4</v>
      </c>
      <c r="D231" s="4">
        <f t="shared" si="18"/>
        <v>23</v>
      </c>
      <c r="E231" s="4" t="str">
        <f t="shared" si="19"/>
        <v>Sunday</v>
      </c>
      <c r="F231" s="4" t="str">
        <f t="shared" si="20"/>
        <v>April</v>
      </c>
      <c r="G231" s="3">
        <v>45039</v>
      </c>
      <c r="H231" s="4" t="s">
        <v>262</v>
      </c>
      <c r="I231" s="4" t="s">
        <v>19</v>
      </c>
      <c r="J231" s="4" t="str" cm="1">
        <f t="array" ref="J231">_xlfn.IFS(K231&lt;30,"Young Adult",K231&lt;50,"Adult",K231&gt;=50,"Senior")</f>
        <v>Senior</v>
      </c>
      <c r="K231" s="4">
        <v>54</v>
      </c>
      <c r="L231" s="4" t="s">
        <v>20</v>
      </c>
      <c r="M231" s="4">
        <v>1</v>
      </c>
      <c r="N231" s="16">
        <v>25</v>
      </c>
      <c r="O231" s="17">
        <f>M231*N231</f>
        <v>25</v>
      </c>
      <c r="P231" s="13">
        <f>$O231*$U$4</f>
        <v>0.375</v>
      </c>
      <c r="Q231" s="13">
        <f>$O231*$U$5</f>
        <v>0.5</v>
      </c>
      <c r="R231" s="13" cm="1">
        <f t="array" ref="R231">_xlfn.IFS(B231=2023,O231*$U$4,B231=2024,O231*$U$5)</f>
        <v>0.375</v>
      </c>
    </row>
    <row r="232" spans="1:18">
      <c r="A232" s="2">
        <v>231</v>
      </c>
      <c r="B232" s="4">
        <f t="shared" si="16"/>
        <v>2023</v>
      </c>
      <c r="C232" s="4">
        <f t="shared" si="17"/>
        <v>1</v>
      </c>
      <c r="D232" s="4">
        <f t="shared" si="18"/>
        <v>4</v>
      </c>
      <c r="E232" s="4" t="str">
        <f t="shared" si="19"/>
        <v>Wednesday</v>
      </c>
      <c r="F232" s="4" t="str">
        <f t="shared" si="20"/>
        <v>January</v>
      </c>
      <c r="G232" s="3">
        <v>44930</v>
      </c>
      <c r="H232" s="4" t="s">
        <v>263</v>
      </c>
      <c r="I232" s="4" t="s">
        <v>22</v>
      </c>
      <c r="J232" s="4" t="str" cm="1">
        <f t="array" ref="J232">_xlfn.IFS(K232&lt;30,"Young Adult",K232&lt;50,"Adult",K232&gt;=50,"Senior")</f>
        <v>Young Adult</v>
      </c>
      <c r="K232" s="4">
        <v>23</v>
      </c>
      <c r="L232" s="4" t="s">
        <v>23</v>
      </c>
      <c r="M232" s="4">
        <v>3</v>
      </c>
      <c r="N232" s="16">
        <v>50</v>
      </c>
      <c r="O232" s="17">
        <f>M232*N232</f>
        <v>150</v>
      </c>
      <c r="P232" s="13">
        <f>$O232*$U$4</f>
        <v>2.25</v>
      </c>
      <c r="Q232" s="13">
        <f>$O232*$U$5</f>
        <v>3</v>
      </c>
      <c r="R232" s="13" cm="1">
        <f t="array" ref="R232">_xlfn.IFS(B232=2023,O232*$U$4,B232=2024,O232*$U$5)</f>
        <v>2.25</v>
      </c>
    </row>
    <row r="233" spans="1:18">
      <c r="A233" s="2">
        <v>232</v>
      </c>
      <c r="B233" s="4">
        <f t="shared" si="16"/>
        <v>2023</v>
      </c>
      <c r="C233" s="4">
        <f t="shared" si="17"/>
        <v>2</v>
      </c>
      <c r="D233" s="4">
        <f t="shared" si="18"/>
        <v>6</v>
      </c>
      <c r="E233" s="4" t="str">
        <f t="shared" si="19"/>
        <v>Monday</v>
      </c>
      <c r="F233" s="4" t="str">
        <f t="shared" si="20"/>
        <v>February</v>
      </c>
      <c r="G233" s="3">
        <v>44963</v>
      </c>
      <c r="H233" s="4" t="s">
        <v>264</v>
      </c>
      <c r="I233" s="4" t="s">
        <v>22</v>
      </c>
      <c r="J233" s="4" t="str" cm="1">
        <f t="array" ref="J233">_xlfn.IFS(K233&lt;30,"Young Adult",K233&lt;50,"Adult",K233&gt;=50,"Senior")</f>
        <v>Adult</v>
      </c>
      <c r="K233" s="4">
        <v>43</v>
      </c>
      <c r="L233" s="4" t="s">
        <v>20</v>
      </c>
      <c r="M233" s="4">
        <v>1</v>
      </c>
      <c r="N233" s="16">
        <v>25</v>
      </c>
      <c r="O233" s="17">
        <f>M233*N233</f>
        <v>25</v>
      </c>
      <c r="P233" s="13">
        <f>$O233*$U$4</f>
        <v>0.375</v>
      </c>
      <c r="Q233" s="13">
        <f>$O233*$U$5</f>
        <v>0.5</v>
      </c>
      <c r="R233" s="13" cm="1">
        <f t="array" ref="R233">_xlfn.IFS(B233=2023,O233*$U$4,B233=2024,O233*$U$5)</f>
        <v>0.375</v>
      </c>
    </row>
    <row r="234" spans="1:18">
      <c r="A234" s="2">
        <v>233</v>
      </c>
      <c r="B234" s="4">
        <f t="shared" si="16"/>
        <v>2023</v>
      </c>
      <c r="C234" s="4">
        <f t="shared" si="17"/>
        <v>12</v>
      </c>
      <c r="D234" s="4">
        <f t="shared" si="18"/>
        <v>29</v>
      </c>
      <c r="E234" s="4" t="str">
        <f t="shared" si="19"/>
        <v>Friday</v>
      </c>
      <c r="F234" s="4" t="str">
        <f t="shared" si="20"/>
        <v>December</v>
      </c>
      <c r="G234" s="3">
        <v>45289</v>
      </c>
      <c r="H234" s="4" t="s">
        <v>265</v>
      </c>
      <c r="I234" s="4" t="s">
        <v>22</v>
      </c>
      <c r="J234" s="4" t="str" cm="1">
        <f t="array" ref="J234">_xlfn.IFS(K234&lt;30,"Young Adult",K234&lt;50,"Adult",K234&gt;=50,"Senior")</f>
        <v>Senior</v>
      </c>
      <c r="K234" s="4">
        <v>51</v>
      </c>
      <c r="L234" s="4" t="s">
        <v>20</v>
      </c>
      <c r="M234" s="4">
        <v>2</v>
      </c>
      <c r="N234" s="16">
        <v>300</v>
      </c>
      <c r="O234" s="17">
        <f>M234*N234</f>
        <v>600</v>
      </c>
      <c r="P234" s="13">
        <f>$O234*$U$4</f>
        <v>9</v>
      </c>
      <c r="Q234" s="13">
        <f>$O234*$U$5</f>
        <v>12</v>
      </c>
      <c r="R234" s="13" cm="1">
        <f t="array" ref="R234">_xlfn.IFS(B234=2023,O234*$U$4,B234=2024,O234*$U$5)</f>
        <v>9</v>
      </c>
    </row>
    <row r="235" spans="1:18">
      <c r="A235" s="2">
        <v>234</v>
      </c>
      <c r="B235" s="4">
        <f t="shared" si="16"/>
        <v>2023</v>
      </c>
      <c r="C235" s="4">
        <f t="shared" si="17"/>
        <v>11</v>
      </c>
      <c r="D235" s="4">
        <f t="shared" si="18"/>
        <v>20</v>
      </c>
      <c r="E235" s="4" t="str">
        <f t="shared" si="19"/>
        <v>Monday</v>
      </c>
      <c r="F235" s="4" t="str">
        <f t="shared" si="20"/>
        <v>November</v>
      </c>
      <c r="G235" s="3">
        <v>45250</v>
      </c>
      <c r="H235" s="4" t="s">
        <v>266</v>
      </c>
      <c r="I235" s="4" t="s">
        <v>22</v>
      </c>
      <c r="J235" s="4" t="str" cm="1">
        <f t="array" ref="J235">_xlfn.IFS(K235&lt;30,"Young Adult",K235&lt;50,"Adult",K235&gt;=50,"Senior")</f>
        <v>Senior</v>
      </c>
      <c r="K235" s="4">
        <v>62</v>
      </c>
      <c r="L235" s="4" t="s">
        <v>26</v>
      </c>
      <c r="M235" s="4">
        <v>2</v>
      </c>
      <c r="N235" s="16">
        <v>25</v>
      </c>
      <c r="O235" s="17">
        <f>M235*N235</f>
        <v>50</v>
      </c>
      <c r="P235" s="13">
        <f>$O235*$U$4</f>
        <v>0.75</v>
      </c>
      <c r="Q235" s="13">
        <f>$O235*$U$5</f>
        <v>1</v>
      </c>
      <c r="R235" s="13" cm="1">
        <f t="array" ref="R235">_xlfn.IFS(B235=2023,O235*$U$4,B235=2024,O235*$U$5)</f>
        <v>0.75</v>
      </c>
    </row>
    <row r="236" spans="1:18">
      <c r="A236" s="2">
        <v>235</v>
      </c>
      <c r="B236" s="4">
        <f t="shared" si="16"/>
        <v>2023</v>
      </c>
      <c r="C236" s="4">
        <f t="shared" si="17"/>
        <v>1</v>
      </c>
      <c r="D236" s="4">
        <f t="shared" si="18"/>
        <v>31</v>
      </c>
      <c r="E236" s="4" t="str">
        <f t="shared" si="19"/>
        <v>Tuesday</v>
      </c>
      <c r="F236" s="4" t="str">
        <f t="shared" si="20"/>
        <v>January</v>
      </c>
      <c r="G236" s="3">
        <v>44957</v>
      </c>
      <c r="H236" s="4" t="s">
        <v>267</v>
      </c>
      <c r="I236" s="4" t="s">
        <v>22</v>
      </c>
      <c r="J236" s="4" t="str" cm="1">
        <f t="array" ref="J236">_xlfn.IFS(K236&lt;30,"Young Adult",K236&lt;50,"Adult",K236&gt;=50,"Senior")</f>
        <v>Young Adult</v>
      </c>
      <c r="K236" s="4">
        <v>23</v>
      </c>
      <c r="L236" s="4" t="s">
        <v>26</v>
      </c>
      <c r="M236" s="4">
        <v>2</v>
      </c>
      <c r="N236" s="16">
        <v>500</v>
      </c>
      <c r="O236" s="17">
        <f>M236*N236</f>
        <v>1000</v>
      </c>
      <c r="P236" s="13">
        <f>$O236*$U$4</f>
        <v>15</v>
      </c>
      <c r="Q236" s="13">
        <f>$O236*$U$5</f>
        <v>20</v>
      </c>
      <c r="R236" s="13" cm="1">
        <f t="array" ref="R236">_xlfn.IFS(B236=2023,O236*$U$4,B236=2024,O236*$U$5)</f>
        <v>15</v>
      </c>
    </row>
    <row r="237" spans="1:18">
      <c r="A237" s="2">
        <v>236</v>
      </c>
      <c r="B237" s="4">
        <f t="shared" si="16"/>
        <v>2023</v>
      </c>
      <c r="C237" s="4">
        <f t="shared" si="17"/>
        <v>4</v>
      </c>
      <c r="D237" s="4">
        <f t="shared" si="18"/>
        <v>28</v>
      </c>
      <c r="E237" s="4" t="str">
        <f t="shared" si="19"/>
        <v>Friday</v>
      </c>
      <c r="F237" s="4" t="str">
        <f t="shared" si="20"/>
        <v>April</v>
      </c>
      <c r="G237" s="3">
        <v>45044</v>
      </c>
      <c r="H237" s="4" t="s">
        <v>268</v>
      </c>
      <c r="I237" s="4" t="s">
        <v>22</v>
      </c>
      <c r="J237" s="4" t="str" cm="1">
        <f t="array" ref="J237">_xlfn.IFS(K237&lt;30,"Young Adult",K237&lt;50,"Adult",K237&gt;=50,"Senior")</f>
        <v>Senior</v>
      </c>
      <c r="K237" s="4">
        <v>54</v>
      </c>
      <c r="L237" s="4" t="s">
        <v>23</v>
      </c>
      <c r="M237" s="4">
        <v>1</v>
      </c>
      <c r="N237" s="16">
        <v>25</v>
      </c>
      <c r="O237" s="17">
        <f>M237*N237</f>
        <v>25</v>
      </c>
      <c r="P237" s="13">
        <f>$O237*$U$4</f>
        <v>0.375</v>
      </c>
      <c r="Q237" s="13">
        <f>$O237*$U$5</f>
        <v>0.5</v>
      </c>
      <c r="R237" s="13" cm="1">
        <f t="array" ref="R237">_xlfn.IFS(B237=2023,O237*$U$4,B237=2024,O237*$U$5)</f>
        <v>0.375</v>
      </c>
    </row>
    <row r="238" spans="1:18">
      <c r="A238" s="2">
        <v>237</v>
      </c>
      <c r="B238" s="4">
        <f t="shared" si="16"/>
        <v>2023</v>
      </c>
      <c r="C238" s="4">
        <f t="shared" si="17"/>
        <v>2</v>
      </c>
      <c r="D238" s="4">
        <f t="shared" si="18"/>
        <v>4</v>
      </c>
      <c r="E238" s="4" t="str">
        <f t="shared" si="19"/>
        <v>Saturday</v>
      </c>
      <c r="F238" s="4" t="str">
        <f t="shared" si="20"/>
        <v>February</v>
      </c>
      <c r="G238" s="3">
        <v>44961</v>
      </c>
      <c r="H238" s="4" t="s">
        <v>269</v>
      </c>
      <c r="I238" s="4" t="s">
        <v>22</v>
      </c>
      <c r="J238" s="4" t="str" cm="1">
        <f t="array" ref="J238">_xlfn.IFS(K238&lt;30,"Young Adult",K238&lt;50,"Adult",K238&gt;=50,"Senior")</f>
        <v>Senior</v>
      </c>
      <c r="K238" s="4">
        <v>50</v>
      </c>
      <c r="L238" s="4" t="s">
        <v>20</v>
      </c>
      <c r="M238" s="4">
        <v>2</v>
      </c>
      <c r="N238" s="16">
        <v>500</v>
      </c>
      <c r="O238" s="17">
        <f>M238*N238</f>
        <v>1000</v>
      </c>
      <c r="P238" s="13">
        <f>$O238*$U$4</f>
        <v>15</v>
      </c>
      <c r="Q238" s="13">
        <f>$O238*$U$5</f>
        <v>20</v>
      </c>
      <c r="R238" s="13" cm="1">
        <f t="array" ref="R238">_xlfn.IFS(B238=2023,O238*$U$4,B238=2024,O238*$U$5)</f>
        <v>15</v>
      </c>
    </row>
    <row r="239" spans="1:18">
      <c r="A239" s="2">
        <v>238</v>
      </c>
      <c r="B239" s="4">
        <f t="shared" si="16"/>
        <v>2023</v>
      </c>
      <c r="C239" s="4">
        <f t="shared" si="17"/>
        <v>1</v>
      </c>
      <c r="D239" s="4">
        <f t="shared" si="18"/>
        <v>17</v>
      </c>
      <c r="E239" s="4" t="str">
        <f t="shared" si="19"/>
        <v>Tuesday</v>
      </c>
      <c r="F239" s="4" t="str">
        <f t="shared" si="20"/>
        <v>January</v>
      </c>
      <c r="G239" s="3">
        <v>44943</v>
      </c>
      <c r="H239" s="4" t="s">
        <v>270</v>
      </c>
      <c r="I239" s="4" t="s">
        <v>22</v>
      </c>
      <c r="J239" s="4" t="str" cm="1">
        <f t="array" ref="J239">_xlfn.IFS(K239&lt;30,"Young Adult",K239&lt;50,"Adult",K239&gt;=50,"Senior")</f>
        <v>Adult</v>
      </c>
      <c r="K239" s="4">
        <v>39</v>
      </c>
      <c r="L239" s="4" t="s">
        <v>20</v>
      </c>
      <c r="M239" s="4">
        <v>1</v>
      </c>
      <c r="N239" s="16">
        <v>500</v>
      </c>
      <c r="O239" s="17">
        <f>M239*N239</f>
        <v>500</v>
      </c>
      <c r="P239" s="13">
        <f>$O239*$U$4</f>
        <v>7.5</v>
      </c>
      <c r="Q239" s="13">
        <f>$O239*$U$5</f>
        <v>10</v>
      </c>
      <c r="R239" s="13" cm="1">
        <f t="array" ref="R239">_xlfn.IFS(B239=2023,O239*$U$4,B239=2024,O239*$U$5)</f>
        <v>7.5</v>
      </c>
    </row>
    <row r="240" spans="1:18">
      <c r="A240" s="2">
        <v>239</v>
      </c>
      <c r="B240" s="4">
        <f t="shared" si="16"/>
        <v>2023</v>
      </c>
      <c r="C240" s="4">
        <f t="shared" si="17"/>
        <v>6</v>
      </c>
      <c r="D240" s="4">
        <f t="shared" si="18"/>
        <v>19</v>
      </c>
      <c r="E240" s="4" t="str">
        <f t="shared" si="19"/>
        <v>Monday</v>
      </c>
      <c r="F240" s="4" t="str">
        <f t="shared" si="20"/>
        <v>June</v>
      </c>
      <c r="G240" s="3">
        <v>45096</v>
      </c>
      <c r="H240" s="4" t="s">
        <v>271</v>
      </c>
      <c r="I240" s="4" t="s">
        <v>19</v>
      </c>
      <c r="J240" s="4" t="str" cm="1">
        <f t="array" ref="J240">_xlfn.IFS(K240&lt;30,"Young Adult",K240&lt;50,"Adult",K240&gt;=50,"Senior")</f>
        <v>Adult</v>
      </c>
      <c r="K240" s="4">
        <v>38</v>
      </c>
      <c r="L240" s="4" t="s">
        <v>26</v>
      </c>
      <c r="M240" s="4">
        <v>3</v>
      </c>
      <c r="N240" s="16">
        <v>500</v>
      </c>
      <c r="O240" s="17">
        <f>M240*N240</f>
        <v>1500</v>
      </c>
      <c r="P240" s="13">
        <f>$O240*$U$4</f>
        <v>22.5</v>
      </c>
      <c r="Q240" s="13">
        <f>$O240*$U$5</f>
        <v>30</v>
      </c>
      <c r="R240" s="13" cm="1">
        <f t="array" ref="R240">_xlfn.IFS(B240=2023,O240*$U$4,B240=2024,O240*$U$5)</f>
        <v>22.5</v>
      </c>
    </row>
    <row r="241" spans="1:18">
      <c r="A241" s="2">
        <v>240</v>
      </c>
      <c r="B241" s="4">
        <f t="shared" si="16"/>
        <v>2023</v>
      </c>
      <c r="C241" s="4">
        <f t="shared" si="17"/>
        <v>2</v>
      </c>
      <c r="D241" s="4">
        <f t="shared" si="18"/>
        <v>6</v>
      </c>
      <c r="E241" s="4" t="str">
        <f t="shared" si="19"/>
        <v>Monday</v>
      </c>
      <c r="F241" s="4" t="str">
        <f t="shared" si="20"/>
        <v>February</v>
      </c>
      <c r="G241" s="3">
        <v>44963</v>
      </c>
      <c r="H241" s="4" t="s">
        <v>272</v>
      </c>
      <c r="I241" s="4" t="s">
        <v>22</v>
      </c>
      <c r="J241" s="4" t="str" cm="1">
        <f t="array" ref="J241">_xlfn.IFS(K241&lt;30,"Young Adult",K241&lt;50,"Adult",K241&gt;=50,"Senior")</f>
        <v>Young Adult</v>
      </c>
      <c r="K241" s="4">
        <v>23</v>
      </c>
      <c r="L241" s="4" t="s">
        <v>20</v>
      </c>
      <c r="M241" s="4">
        <v>1</v>
      </c>
      <c r="N241" s="16">
        <v>300</v>
      </c>
      <c r="O241" s="17">
        <f>M241*N241</f>
        <v>300</v>
      </c>
      <c r="P241" s="13">
        <f>$O241*$U$4</f>
        <v>4.5</v>
      </c>
      <c r="Q241" s="13">
        <f>$O241*$U$5</f>
        <v>6</v>
      </c>
      <c r="R241" s="13" cm="1">
        <f t="array" ref="R241">_xlfn.IFS(B241=2023,O241*$U$4,B241=2024,O241*$U$5)</f>
        <v>4.5</v>
      </c>
    </row>
    <row r="242" spans="1:18">
      <c r="A242" s="2">
        <v>241</v>
      </c>
      <c r="B242" s="4">
        <f t="shared" si="16"/>
        <v>2023</v>
      </c>
      <c r="C242" s="4">
        <f t="shared" si="17"/>
        <v>9</v>
      </c>
      <c r="D242" s="4">
        <f t="shared" si="18"/>
        <v>21</v>
      </c>
      <c r="E242" s="4" t="str">
        <f t="shared" si="19"/>
        <v>Thursday</v>
      </c>
      <c r="F242" s="4" t="str">
        <f t="shared" si="20"/>
        <v>September</v>
      </c>
      <c r="G242" s="3">
        <v>45190</v>
      </c>
      <c r="H242" s="4" t="s">
        <v>273</v>
      </c>
      <c r="I242" s="4" t="s">
        <v>22</v>
      </c>
      <c r="J242" s="4" t="str" cm="1">
        <f t="array" ref="J242">_xlfn.IFS(K242&lt;30,"Young Adult",K242&lt;50,"Adult",K242&gt;=50,"Senior")</f>
        <v>Young Adult</v>
      </c>
      <c r="K242" s="4">
        <v>23</v>
      </c>
      <c r="L242" s="4" t="s">
        <v>26</v>
      </c>
      <c r="M242" s="4">
        <v>3</v>
      </c>
      <c r="N242" s="16">
        <v>25</v>
      </c>
      <c r="O242" s="17">
        <f>M242*N242</f>
        <v>75</v>
      </c>
      <c r="P242" s="13">
        <f>$O242*$U$4</f>
        <v>1.125</v>
      </c>
      <c r="Q242" s="13">
        <f>$O242*$U$5</f>
        <v>1.5</v>
      </c>
      <c r="R242" s="13" cm="1">
        <f t="array" ref="R242">_xlfn.IFS(B242=2023,O242*$U$4,B242=2024,O242*$U$5)</f>
        <v>1.125</v>
      </c>
    </row>
    <row r="243" spans="1:18">
      <c r="A243" s="2">
        <v>242</v>
      </c>
      <c r="B243" s="4">
        <f t="shared" si="16"/>
        <v>2023</v>
      </c>
      <c r="C243" s="4">
        <f t="shared" si="17"/>
        <v>5</v>
      </c>
      <c r="D243" s="4">
        <f t="shared" si="18"/>
        <v>2</v>
      </c>
      <c r="E243" s="4" t="str">
        <f t="shared" si="19"/>
        <v>Tuesday</v>
      </c>
      <c r="F243" s="4" t="str">
        <f t="shared" si="20"/>
        <v>May</v>
      </c>
      <c r="G243" s="3">
        <v>45048</v>
      </c>
      <c r="H243" s="4" t="s">
        <v>274</v>
      </c>
      <c r="I243" s="4" t="s">
        <v>19</v>
      </c>
      <c r="J243" s="4" t="str" cm="1">
        <f t="array" ref="J243">_xlfn.IFS(K243&lt;30,"Young Adult",K243&lt;50,"Adult",K243&gt;=50,"Senior")</f>
        <v>Young Adult</v>
      </c>
      <c r="K243" s="4">
        <v>21</v>
      </c>
      <c r="L243" s="4" t="s">
        <v>23</v>
      </c>
      <c r="M243" s="4">
        <v>1</v>
      </c>
      <c r="N243" s="16">
        <v>25</v>
      </c>
      <c r="O243" s="17">
        <f>M243*N243</f>
        <v>25</v>
      </c>
      <c r="P243" s="13">
        <f>$O243*$U$4</f>
        <v>0.375</v>
      </c>
      <c r="Q243" s="13">
        <f>$O243*$U$5</f>
        <v>0.5</v>
      </c>
      <c r="R243" s="13" cm="1">
        <f t="array" ref="R243">_xlfn.IFS(B243=2023,O243*$U$4,B243=2024,O243*$U$5)</f>
        <v>0.375</v>
      </c>
    </row>
    <row r="244" spans="1:18">
      <c r="A244" s="2">
        <v>243</v>
      </c>
      <c r="B244" s="4">
        <f t="shared" si="16"/>
        <v>2023</v>
      </c>
      <c r="C244" s="4">
        <f t="shared" si="17"/>
        <v>5</v>
      </c>
      <c r="D244" s="4">
        <f t="shared" si="18"/>
        <v>23</v>
      </c>
      <c r="E244" s="4" t="str">
        <f t="shared" si="19"/>
        <v>Tuesday</v>
      </c>
      <c r="F244" s="4" t="str">
        <f t="shared" si="20"/>
        <v>May</v>
      </c>
      <c r="G244" s="3">
        <v>45069</v>
      </c>
      <c r="H244" s="4" t="s">
        <v>275</v>
      </c>
      <c r="I244" s="4" t="s">
        <v>22</v>
      </c>
      <c r="J244" s="4" t="str" cm="1">
        <f t="array" ref="J244">_xlfn.IFS(K244&lt;30,"Young Adult",K244&lt;50,"Adult",K244&gt;=50,"Senior")</f>
        <v>Adult</v>
      </c>
      <c r="K244" s="4">
        <v>47</v>
      </c>
      <c r="L244" s="4" t="s">
        <v>26</v>
      </c>
      <c r="M244" s="4">
        <v>3</v>
      </c>
      <c r="N244" s="16">
        <v>300</v>
      </c>
      <c r="O244" s="17">
        <f>M244*N244</f>
        <v>900</v>
      </c>
      <c r="P244" s="13">
        <f>$O244*$U$4</f>
        <v>13.5</v>
      </c>
      <c r="Q244" s="13">
        <f>$O244*$U$5</f>
        <v>18</v>
      </c>
      <c r="R244" s="13" cm="1">
        <f t="array" ref="R244">_xlfn.IFS(B244=2023,O244*$U$4,B244=2024,O244*$U$5)</f>
        <v>13.5</v>
      </c>
    </row>
    <row r="245" spans="1:18">
      <c r="A245" s="2">
        <v>244</v>
      </c>
      <c r="B245" s="4">
        <f t="shared" si="16"/>
        <v>2023</v>
      </c>
      <c r="C245" s="4">
        <f t="shared" si="17"/>
        <v>12</v>
      </c>
      <c r="D245" s="4">
        <f t="shared" si="18"/>
        <v>9</v>
      </c>
      <c r="E245" s="4" t="str">
        <f t="shared" si="19"/>
        <v>Saturday</v>
      </c>
      <c r="F245" s="4" t="str">
        <f t="shared" si="20"/>
        <v>December</v>
      </c>
      <c r="G245" s="3">
        <v>45269</v>
      </c>
      <c r="H245" s="4" t="s">
        <v>276</v>
      </c>
      <c r="I245" s="4" t="s">
        <v>19</v>
      </c>
      <c r="J245" s="4" t="str" cm="1">
        <f t="array" ref="J245">_xlfn.IFS(K245&lt;30,"Young Adult",K245&lt;50,"Adult",K245&gt;=50,"Senior")</f>
        <v>Young Adult</v>
      </c>
      <c r="K245" s="4">
        <v>28</v>
      </c>
      <c r="L245" s="4" t="s">
        <v>20</v>
      </c>
      <c r="M245" s="4">
        <v>2</v>
      </c>
      <c r="N245" s="16">
        <v>50</v>
      </c>
      <c r="O245" s="17">
        <f>M245*N245</f>
        <v>100</v>
      </c>
      <c r="P245" s="13">
        <f>$O245*$U$4</f>
        <v>1.5</v>
      </c>
      <c r="Q245" s="13">
        <f>$O245*$U$5</f>
        <v>2</v>
      </c>
      <c r="R245" s="13" cm="1">
        <f t="array" ref="R245">_xlfn.IFS(B245=2023,O245*$U$4,B245=2024,O245*$U$5)</f>
        <v>1.5</v>
      </c>
    </row>
    <row r="246" spans="1:18">
      <c r="A246" s="2">
        <v>245</v>
      </c>
      <c r="B246" s="4">
        <f t="shared" si="16"/>
        <v>2023</v>
      </c>
      <c r="C246" s="4">
        <f t="shared" si="17"/>
        <v>9</v>
      </c>
      <c r="D246" s="4">
        <f t="shared" si="18"/>
        <v>6</v>
      </c>
      <c r="E246" s="4" t="str">
        <f t="shared" si="19"/>
        <v>Wednesday</v>
      </c>
      <c r="F246" s="4" t="str">
        <f t="shared" si="20"/>
        <v>September</v>
      </c>
      <c r="G246" s="3">
        <v>45175</v>
      </c>
      <c r="H246" s="4" t="s">
        <v>277</v>
      </c>
      <c r="I246" s="4" t="s">
        <v>19</v>
      </c>
      <c r="J246" s="4" t="str" cm="1">
        <f t="array" ref="J246">_xlfn.IFS(K246&lt;30,"Young Adult",K246&lt;50,"Adult",K246&gt;=50,"Senior")</f>
        <v>Adult</v>
      </c>
      <c r="K246" s="4">
        <v>47</v>
      </c>
      <c r="L246" s="4" t="s">
        <v>23</v>
      </c>
      <c r="M246" s="4">
        <v>3</v>
      </c>
      <c r="N246" s="16">
        <v>30</v>
      </c>
      <c r="O246" s="17">
        <f>M246*N246</f>
        <v>90</v>
      </c>
      <c r="P246" s="13">
        <f>$O246*$U$4</f>
        <v>1.3499999999999999</v>
      </c>
      <c r="Q246" s="13">
        <f>$O246*$U$5</f>
        <v>1.8</v>
      </c>
      <c r="R246" s="13" cm="1">
        <f t="array" ref="R246">_xlfn.IFS(B246=2023,O246*$U$4,B246=2024,O246*$U$5)</f>
        <v>1.3499999999999999</v>
      </c>
    </row>
    <row r="247" spans="1:18">
      <c r="A247" s="2">
        <v>246</v>
      </c>
      <c r="B247" s="4">
        <f t="shared" si="16"/>
        <v>2023</v>
      </c>
      <c r="C247" s="4">
        <f t="shared" si="17"/>
        <v>4</v>
      </c>
      <c r="D247" s="4">
        <f t="shared" si="18"/>
        <v>20</v>
      </c>
      <c r="E247" s="4" t="str">
        <f t="shared" si="19"/>
        <v>Thursday</v>
      </c>
      <c r="F247" s="4" t="str">
        <f t="shared" si="20"/>
        <v>April</v>
      </c>
      <c r="G247" s="3">
        <v>45036</v>
      </c>
      <c r="H247" s="4" t="s">
        <v>278</v>
      </c>
      <c r="I247" s="4" t="s">
        <v>22</v>
      </c>
      <c r="J247" s="4" t="str" cm="1">
        <f t="array" ref="J247">_xlfn.IFS(K247&lt;30,"Young Adult",K247&lt;50,"Adult",K247&gt;=50,"Senior")</f>
        <v>Adult</v>
      </c>
      <c r="K247" s="4">
        <v>48</v>
      </c>
      <c r="L247" s="4" t="s">
        <v>26</v>
      </c>
      <c r="M247" s="4">
        <v>2</v>
      </c>
      <c r="N247" s="16">
        <v>25</v>
      </c>
      <c r="O247" s="17">
        <f>M247*N247</f>
        <v>50</v>
      </c>
      <c r="P247" s="13">
        <f>$O247*$U$4</f>
        <v>0.75</v>
      </c>
      <c r="Q247" s="13">
        <f>$O247*$U$5</f>
        <v>1</v>
      </c>
      <c r="R247" s="13" cm="1">
        <f t="array" ref="R247">_xlfn.IFS(B247=2023,O247*$U$4,B247=2024,O247*$U$5)</f>
        <v>0.75</v>
      </c>
    </row>
    <row r="248" spans="1:18">
      <c r="A248" s="2">
        <v>247</v>
      </c>
      <c r="B248" s="4">
        <f t="shared" si="16"/>
        <v>2023</v>
      </c>
      <c r="C248" s="4">
        <f t="shared" si="17"/>
        <v>10</v>
      </c>
      <c r="D248" s="4">
        <f t="shared" si="18"/>
        <v>4</v>
      </c>
      <c r="E248" s="4" t="str">
        <f t="shared" si="19"/>
        <v>Wednesday</v>
      </c>
      <c r="F248" s="4" t="str">
        <f t="shared" si="20"/>
        <v>October</v>
      </c>
      <c r="G248" s="3">
        <v>45203</v>
      </c>
      <c r="H248" s="4" t="s">
        <v>279</v>
      </c>
      <c r="I248" s="4" t="s">
        <v>19</v>
      </c>
      <c r="J248" s="4" t="str" cm="1">
        <f t="array" ref="J248">_xlfn.IFS(K248&lt;30,"Young Adult",K248&lt;50,"Adult",K248&gt;=50,"Senior")</f>
        <v>Adult</v>
      </c>
      <c r="K248" s="4">
        <v>41</v>
      </c>
      <c r="L248" s="4" t="s">
        <v>26</v>
      </c>
      <c r="M248" s="4">
        <v>2</v>
      </c>
      <c r="N248" s="16">
        <v>30</v>
      </c>
      <c r="O248" s="17">
        <f>M248*N248</f>
        <v>60</v>
      </c>
      <c r="P248" s="13">
        <f>$O248*$U$4</f>
        <v>0.89999999999999991</v>
      </c>
      <c r="Q248" s="13">
        <f>$O248*$U$5</f>
        <v>1.2</v>
      </c>
      <c r="R248" s="13" cm="1">
        <f t="array" ref="R248">_xlfn.IFS(B248=2023,O248*$U$4,B248=2024,O248*$U$5)</f>
        <v>0.89999999999999991</v>
      </c>
    </row>
    <row r="249" spans="1:18">
      <c r="A249" s="2">
        <v>248</v>
      </c>
      <c r="B249" s="4">
        <f t="shared" si="16"/>
        <v>2023</v>
      </c>
      <c r="C249" s="4">
        <f t="shared" si="17"/>
        <v>3</v>
      </c>
      <c r="D249" s="4">
        <f t="shared" si="18"/>
        <v>9</v>
      </c>
      <c r="E249" s="4" t="str">
        <f t="shared" si="19"/>
        <v>Thursday</v>
      </c>
      <c r="F249" s="4" t="str">
        <f t="shared" si="20"/>
        <v>March</v>
      </c>
      <c r="G249" s="3">
        <v>44994</v>
      </c>
      <c r="H249" s="4" t="s">
        <v>280</v>
      </c>
      <c r="I249" s="4" t="s">
        <v>19</v>
      </c>
      <c r="J249" s="4" t="str" cm="1">
        <f t="array" ref="J249">_xlfn.IFS(K249&lt;30,"Young Adult",K249&lt;50,"Adult",K249&gt;=50,"Senior")</f>
        <v>Young Adult</v>
      </c>
      <c r="K249" s="4">
        <v>26</v>
      </c>
      <c r="L249" s="4" t="s">
        <v>23</v>
      </c>
      <c r="M249" s="4">
        <v>3</v>
      </c>
      <c r="N249" s="16">
        <v>300</v>
      </c>
      <c r="O249" s="17">
        <f>M249*N249</f>
        <v>900</v>
      </c>
      <c r="P249" s="13">
        <f>$O249*$U$4</f>
        <v>13.5</v>
      </c>
      <c r="Q249" s="13">
        <f>$O249*$U$5</f>
        <v>18</v>
      </c>
      <c r="R249" s="13" cm="1">
        <f t="array" ref="R249">_xlfn.IFS(B249=2023,O249*$U$4,B249=2024,O249*$U$5)</f>
        <v>13.5</v>
      </c>
    </row>
    <row r="250" spans="1:18">
      <c r="A250" s="2">
        <v>249</v>
      </c>
      <c r="B250" s="4">
        <f t="shared" si="16"/>
        <v>2023</v>
      </c>
      <c r="C250" s="4">
        <f t="shared" si="17"/>
        <v>10</v>
      </c>
      <c r="D250" s="4">
        <f t="shared" si="18"/>
        <v>20</v>
      </c>
      <c r="E250" s="4" t="str">
        <f t="shared" si="19"/>
        <v>Friday</v>
      </c>
      <c r="F250" s="4" t="str">
        <f t="shared" si="20"/>
        <v>October</v>
      </c>
      <c r="G250" s="3">
        <v>45219</v>
      </c>
      <c r="H250" s="4" t="s">
        <v>281</v>
      </c>
      <c r="I250" s="4" t="s">
        <v>19</v>
      </c>
      <c r="J250" s="4" t="str" cm="1">
        <f t="array" ref="J250">_xlfn.IFS(K250&lt;30,"Young Adult",K250&lt;50,"Adult",K250&gt;=50,"Senior")</f>
        <v>Young Adult</v>
      </c>
      <c r="K250" s="4">
        <v>20</v>
      </c>
      <c r="L250" s="4" t="s">
        <v>23</v>
      </c>
      <c r="M250" s="4">
        <v>1</v>
      </c>
      <c r="N250" s="16">
        <v>50</v>
      </c>
      <c r="O250" s="17">
        <f>M250*N250</f>
        <v>50</v>
      </c>
      <c r="P250" s="13">
        <f>$O250*$U$4</f>
        <v>0.75</v>
      </c>
      <c r="Q250" s="13">
        <f>$O250*$U$5</f>
        <v>1</v>
      </c>
      <c r="R250" s="13" cm="1">
        <f t="array" ref="R250">_xlfn.IFS(B250=2023,O250*$U$4,B250=2024,O250*$U$5)</f>
        <v>0.75</v>
      </c>
    </row>
    <row r="251" spans="1:18">
      <c r="A251" s="2">
        <v>250</v>
      </c>
      <c r="B251" s="4">
        <f t="shared" si="16"/>
        <v>2023</v>
      </c>
      <c r="C251" s="4">
        <f t="shared" si="17"/>
        <v>10</v>
      </c>
      <c r="D251" s="4">
        <f t="shared" si="18"/>
        <v>23</v>
      </c>
      <c r="E251" s="4" t="str">
        <f t="shared" si="19"/>
        <v>Monday</v>
      </c>
      <c r="F251" s="4" t="str">
        <f t="shared" si="20"/>
        <v>October</v>
      </c>
      <c r="G251" s="3">
        <v>45222</v>
      </c>
      <c r="H251" s="4" t="s">
        <v>282</v>
      </c>
      <c r="I251" s="4" t="s">
        <v>19</v>
      </c>
      <c r="J251" s="4" t="str" cm="1">
        <f t="array" ref="J251">_xlfn.IFS(K251&lt;30,"Young Adult",K251&lt;50,"Adult",K251&gt;=50,"Senior")</f>
        <v>Adult</v>
      </c>
      <c r="K251" s="4">
        <v>48</v>
      </c>
      <c r="L251" s="4" t="s">
        <v>26</v>
      </c>
      <c r="M251" s="4">
        <v>1</v>
      </c>
      <c r="N251" s="16">
        <v>50</v>
      </c>
      <c r="O251" s="17">
        <f>M251*N251</f>
        <v>50</v>
      </c>
      <c r="P251" s="13">
        <f>$O251*$U$4</f>
        <v>0.75</v>
      </c>
      <c r="Q251" s="13">
        <f>$O251*$U$5</f>
        <v>1</v>
      </c>
      <c r="R251" s="13" cm="1">
        <f t="array" ref="R251">_xlfn.IFS(B251=2023,O251*$U$4,B251=2024,O251*$U$5)</f>
        <v>0.75</v>
      </c>
    </row>
    <row r="252" spans="1:18">
      <c r="A252" s="2">
        <v>251</v>
      </c>
      <c r="B252" s="4">
        <f t="shared" si="16"/>
        <v>2023</v>
      </c>
      <c r="C252" s="4">
        <f t="shared" si="17"/>
        <v>8</v>
      </c>
      <c r="D252" s="4">
        <f t="shared" si="18"/>
        <v>31</v>
      </c>
      <c r="E252" s="4" t="str">
        <f t="shared" si="19"/>
        <v>Thursday</v>
      </c>
      <c r="F252" s="4" t="str">
        <f t="shared" si="20"/>
        <v>August</v>
      </c>
      <c r="G252" s="3">
        <v>45169</v>
      </c>
      <c r="H252" s="4" t="s">
        <v>283</v>
      </c>
      <c r="I252" s="4" t="s">
        <v>22</v>
      </c>
      <c r="J252" s="4" t="str" cm="1">
        <f t="array" ref="J252">_xlfn.IFS(K252&lt;30,"Young Adult",K252&lt;50,"Adult",K252&gt;=50,"Senior")</f>
        <v>Senior</v>
      </c>
      <c r="K252" s="4">
        <v>57</v>
      </c>
      <c r="L252" s="4" t="s">
        <v>20</v>
      </c>
      <c r="M252" s="4">
        <v>4</v>
      </c>
      <c r="N252" s="16">
        <v>50</v>
      </c>
      <c r="O252" s="17">
        <f>M252*N252</f>
        <v>200</v>
      </c>
      <c r="P252" s="13">
        <f>$O252*$U$4</f>
        <v>3</v>
      </c>
      <c r="Q252" s="13">
        <f>$O252*$U$5</f>
        <v>4</v>
      </c>
      <c r="R252" s="13" cm="1">
        <f t="array" ref="R252">_xlfn.IFS(B252=2023,O252*$U$4,B252=2024,O252*$U$5)</f>
        <v>3</v>
      </c>
    </row>
    <row r="253" spans="1:18">
      <c r="A253" s="2">
        <v>252</v>
      </c>
      <c r="B253" s="4">
        <f t="shared" si="16"/>
        <v>2023</v>
      </c>
      <c r="C253" s="4">
        <f t="shared" si="17"/>
        <v>5</v>
      </c>
      <c r="D253" s="4">
        <f t="shared" si="18"/>
        <v>5</v>
      </c>
      <c r="E253" s="4" t="str">
        <f t="shared" si="19"/>
        <v>Friday</v>
      </c>
      <c r="F253" s="4" t="str">
        <f t="shared" si="20"/>
        <v>May</v>
      </c>
      <c r="G253" s="3">
        <v>45051</v>
      </c>
      <c r="H253" s="4" t="s">
        <v>284</v>
      </c>
      <c r="I253" s="4" t="s">
        <v>19</v>
      </c>
      <c r="J253" s="4" t="str" cm="1">
        <f t="array" ref="J253">_xlfn.IFS(K253&lt;30,"Young Adult",K253&lt;50,"Adult",K253&gt;=50,"Senior")</f>
        <v>Senior</v>
      </c>
      <c r="K253" s="4">
        <v>54</v>
      </c>
      <c r="L253" s="4" t="s">
        <v>26</v>
      </c>
      <c r="M253" s="4">
        <v>1</v>
      </c>
      <c r="N253" s="16">
        <v>300</v>
      </c>
      <c r="O253" s="17">
        <f>M253*N253</f>
        <v>300</v>
      </c>
      <c r="P253" s="13">
        <f>$O253*$U$4</f>
        <v>4.5</v>
      </c>
      <c r="Q253" s="13">
        <f>$O253*$U$5</f>
        <v>6</v>
      </c>
      <c r="R253" s="13" cm="1">
        <f t="array" ref="R253">_xlfn.IFS(B253=2023,O253*$U$4,B253=2024,O253*$U$5)</f>
        <v>4.5</v>
      </c>
    </row>
    <row r="254" spans="1:18">
      <c r="A254" s="2">
        <v>253</v>
      </c>
      <c r="B254" s="4">
        <f t="shared" si="16"/>
        <v>2023</v>
      </c>
      <c r="C254" s="4">
        <f t="shared" si="17"/>
        <v>8</v>
      </c>
      <c r="D254" s="4">
        <f t="shared" si="18"/>
        <v>31</v>
      </c>
      <c r="E254" s="4" t="str">
        <f t="shared" si="19"/>
        <v>Thursday</v>
      </c>
      <c r="F254" s="4" t="str">
        <f t="shared" si="20"/>
        <v>August</v>
      </c>
      <c r="G254" s="3">
        <v>45169</v>
      </c>
      <c r="H254" s="4" t="s">
        <v>285</v>
      </c>
      <c r="I254" s="4" t="s">
        <v>22</v>
      </c>
      <c r="J254" s="4" t="str" cm="1">
        <f t="array" ref="J254">_xlfn.IFS(K254&lt;30,"Young Adult",K254&lt;50,"Adult",K254&gt;=50,"Senior")</f>
        <v>Senior</v>
      </c>
      <c r="K254" s="4">
        <v>53</v>
      </c>
      <c r="L254" s="4" t="s">
        <v>23</v>
      </c>
      <c r="M254" s="4">
        <v>4</v>
      </c>
      <c r="N254" s="16">
        <v>500</v>
      </c>
      <c r="O254" s="17">
        <f>M254*N254</f>
        <v>2000</v>
      </c>
      <c r="P254" s="13">
        <f>$O254*$U$4</f>
        <v>30</v>
      </c>
      <c r="Q254" s="13">
        <f>$O254*$U$5</f>
        <v>40</v>
      </c>
      <c r="R254" s="13" cm="1">
        <f t="array" ref="R254">_xlfn.IFS(B254=2023,O254*$U$4,B254=2024,O254*$U$5)</f>
        <v>30</v>
      </c>
    </row>
    <row r="255" spans="1:18">
      <c r="A255" s="2">
        <v>254</v>
      </c>
      <c r="B255" s="4">
        <f t="shared" si="16"/>
        <v>2023</v>
      </c>
      <c r="C255" s="4">
        <f t="shared" si="17"/>
        <v>7</v>
      </c>
      <c r="D255" s="4">
        <f t="shared" si="18"/>
        <v>28</v>
      </c>
      <c r="E255" s="4" t="str">
        <f t="shared" si="19"/>
        <v>Friday</v>
      </c>
      <c r="F255" s="4" t="str">
        <f t="shared" si="20"/>
        <v>July</v>
      </c>
      <c r="G255" s="3">
        <v>45135</v>
      </c>
      <c r="H255" s="4" t="s">
        <v>286</v>
      </c>
      <c r="I255" s="4" t="s">
        <v>19</v>
      </c>
      <c r="J255" s="4" t="str" cm="1">
        <f t="array" ref="J255">_xlfn.IFS(K255&lt;30,"Young Adult",K255&lt;50,"Adult",K255&gt;=50,"Senior")</f>
        <v>Adult</v>
      </c>
      <c r="K255" s="4">
        <v>41</v>
      </c>
      <c r="L255" s="4" t="s">
        <v>26</v>
      </c>
      <c r="M255" s="4">
        <v>1</v>
      </c>
      <c r="N255" s="16">
        <v>500</v>
      </c>
      <c r="O255" s="17">
        <f>M255*N255</f>
        <v>500</v>
      </c>
      <c r="P255" s="13">
        <f>$O255*$U$4</f>
        <v>7.5</v>
      </c>
      <c r="Q255" s="13">
        <f>$O255*$U$5</f>
        <v>10</v>
      </c>
      <c r="R255" s="13" cm="1">
        <f t="array" ref="R255">_xlfn.IFS(B255=2023,O255*$U$4,B255=2024,O255*$U$5)</f>
        <v>7.5</v>
      </c>
    </row>
    <row r="256" spans="1:18">
      <c r="A256" s="2">
        <v>255</v>
      </c>
      <c r="B256" s="4">
        <f t="shared" si="16"/>
        <v>2023</v>
      </c>
      <c r="C256" s="4">
        <f t="shared" si="17"/>
        <v>4</v>
      </c>
      <c r="D256" s="4">
        <f t="shared" si="18"/>
        <v>8</v>
      </c>
      <c r="E256" s="4" t="str">
        <f t="shared" si="19"/>
        <v>Saturday</v>
      </c>
      <c r="F256" s="4" t="str">
        <f t="shared" si="20"/>
        <v>April</v>
      </c>
      <c r="G256" s="3">
        <v>45024</v>
      </c>
      <c r="H256" s="4" t="s">
        <v>287</v>
      </c>
      <c r="I256" s="4" t="s">
        <v>19</v>
      </c>
      <c r="J256" s="4" t="str" cm="1">
        <f t="array" ref="J256">_xlfn.IFS(K256&lt;30,"Young Adult",K256&lt;50,"Adult",K256&gt;=50,"Senior")</f>
        <v>Adult</v>
      </c>
      <c r="K256" s="4">
        <v>48</v>
      </c>
      <c r="L256" s="4" t="s">
        <v>23</v>
      </c>
      <c r="M256" s="4">
        <v>1</v>
      </c>
      <c r="N256" s="16">
        <v>30</v>
      </c>
      <c r="O256" s="17">
        <f>M256*N256</f>
        <v>30</v>
      </c>
      <c r="P256" s="13">
        <f>$O256*$U$4</f>
        <v>0.44999999999999996</v>
      </c>
      <c r="Q256" s="13">
        <f>$O256*$U$5</f>
        <v>0.6</v>
      </c>
      <c r="R256" s="13" cm="1">
        <f t="array" ref="R256">_xlfn.IFS(B256=2023,O256*$U$4,B256=2024,O256*$U$5)</f>
        <v>0.44999999999999996</v>
      </c>
    </row>
    <row r="257" spans="1:18">
      <c r="A257" s="2">
        <v>256</v>
      </c>
      <c r="B257" s="4">
        <f t="shared" si="16"/>
        <v>2023</v>
      </c>
      <c r="C257" s="4">
        <f t="shared" si="17"/>
        <v>2</v>
      </c>
      <c r="D257" s="4">
        <f t="shared" si="18"/>
        <v>18</v>
      </c>
      <c r="E257" s="4" t="str">
        <f t="shared" si="19"/>
        <v>Saturday</v>
      </c>
      <c r="F257" s="4" t="str">
        <f t="shared" si="20"/>
        <v>February</v>
      </c>
      <c r="G257" s="3">
        <v>44975</v>
      </c>
      <c r="H257" s="4" t="s">
        <v>288</v>
      </c>
      <c r="I257" s="4" t="s">
        <v>19</v>
      </c>
      <c r="J257" s="4" t="str" cm="1">
        <f t="array" ref="J257">_xlfn.IFS(K257&lt;30,"Young Adult",K257&lt;50,"Adult",K257&gt;=50,"Senior")</f>
        <v>Young Adult</v>
      </c>
      <c r="K257" s="4">
        <v>23</v>
      </c>
      <c r="L257" s="4" t="s">
        <v>23</v>
      </c>
      <c r="M257" s="4">
        <v>2</v>
      </c>
      <c r="N257" s="16">
        <v>500</v>
      </c>
      <c r="O257" s="17">
        <f>M257*N257</f>
        <v>1000</v>
      </c>
      <c r="P257" s="13">
        <f>$O257*$U$4</f>
        <v>15</v>
      </c>
      <c r="Q257" s="13">
        <f>$O257*$U$5</f>
        <v>20</v>
      </c>
      <c r="R257" s="13" cm="1">
        <f t="array" ref="R257">_xlfn.IFS(B257=2023,O257*$U$4,B257=2024,O257*$U$5)</f>
        <v>15</v>
      </c>
    </row>
    <row r="258" spans="1:18">
      <c r="A258" s="2">
        <v>257</v>
      </c>
      <c r="B258" s="4">
        <f t="shared" si="16"/>
        <v>2023</v>
      </c>
      <c r="C258" s="4">
        <f t="shared" si="17"/>
        <v>2</v>
      </c>
      <c r="D258" s="4">
        <f t="shared" si="18"/>
        <v>19</v>
      </c>
      <c r="E258" s="4" t="str">
        <f t="shared" si="19"/>
        <v>Sunday</v>
      </c>
      <c r="F258" s="4" t="str">
        <f t="shared" si="20"/>
        <v>February</v>
      </c>
      <c r="G258" s="3">
        <v>44976</v>
      </c>
      <c r="H258" s="4" t="s">
        <v>289</v>
      </c>
      <c r="I258" s="4" t="s">
        <v>19</v>
      </c>
      <c r="J258" s="4" t="str" cm="1">
        <f t="array" ref="J258">_xlfn.IFS(K258&lt;30,"Young Adult",K258&lt;50,"Adult",K258&gt;=50,"Senior")</f>
        <v>Young Adult</v>
      </c>
      <c r="K258" s="4">
        <v>19</v>
      </c>
      <c r="L258" s="4" t="s">
        <v>20</v>
      </c>
      <c r="M258" s="4">
        <v>4</v>
      </c>
      <c r="N258" s="16">
        <v>500</v>
      </c>
      <c r="O258" s="17">
        <f>M258*N258</f>
        <v>2000</v>
      </c>
      <c r="P258" s="13">
        <f>$O258*$U$4</f>
        <v>30</v>
      </c>
      <c r="Q258" s="13">
        <f>$O258*$U$5</f>
        <v>40</v>
      </c>
      <c r="R258" s="13" cm="1">
        <f t="array" ref="R258">_xlfn.IFS(B258=2023,O258*$U$4,B258=2024,O258*$U$5)</f>
        <v>30</v>
      </c>
    </row>
    <row r="259" spans="1:18">
      <c r="A259" s="2">
        <v>258</v>
      </c>
      <c r="B259" s="4">
        <f t="shared" ref="B259:B322" si="21">YEAR(G259)</f>
        <v>2023</v>
      </c>
      <c r="C259" s="4">
        <f t="shared" ref="C259:C322" si="22">MONTH(G259)</f>
        <v>12</v>
      </c>
      <c r="D259" s="4">
        <f t="shared" ref="D259:D322" si="23">DAY(G259)</f>
        <v>4</v>
      </c>
      <c r="E259" s="4" t="str">
        <f t="shared" ref="E259:E322" si="24">TEXT(G259,"dddd")</f>
        <v>Monday</v>
      </c>
      <c r="F259" s="4" t="str">
        <f t="shared" ref="F259:F322" si="25">TEXT(G259,"mmmm")</f>
        <v>December</v>
      </c>
      <c r="G259" s="3">
        <v>45264</v>
      </c>
      <c r="H259" s="4" t="s">
        <v>290</v>
      </c>
      <c r="I259" s="4" t="s">
        <v>22</v>
      </c>
      <c r="J259" s="4" t="str" cm="1">
        <f t="array" ref="J259">_xlfn.IFS(K259&lt;30,"Young Adult",K259&lt;50,"Adult",K259&gt;=50,"Senior")</f>
        <v>Adult</v>
      </c>
      <c r="K259" s="4">
        <v>37</v>
      </c>
      <c r="L259" s="4" t="s">
        <v>23</v>
      </c>
      <c r="M259" s="4">
        <v>1</v>
      </c>
      <c r="N259" s="16">
        <v>50</v>
      </c>
      <c r="O259" s="17">
        <f>M259*N259</f>
        <v>50</v>
      </c>
      <c r="P259" s="13">
        <f>$O259*$U$4</f>
        <v>0.75</v>
      </c>
      <c r="Q259" s="13">
        <f>$O259*$U$5</f>
        <v>1</v>
      </c>
      <c r="R259" s="13" cm="1">
        <f t="array" ref="R259">_xlfn.IFS(B259=2023,O259*$U$4,B259=2024,O259*$U$5)</f>
        <v>0.75</v>
      </c>
    </row>
    <row r="260" spans="1:18">
      <c r="A260" s="2">
        <v>259</v>
      </c>
      <c r="B260" s="4">
        <f t="shared" si="21"/>
        <v>2023</v>
      </c>
      <c r="C260" s="4">
        <f t="shared" si="22"/>
        <v>8</v>
      </c>
      <c r="D260" s="4">
        <f t="shared" si="23"/>
        <v>9</v>
      </c>
      <c r="E260" s="4" t="str">
        <f t="shared" si="24"/>
        <v>Wednesday</v>
      </c>
      <c r="F260" s="4" t="str">
        <f t="shared" si="25"/>
        <v>August</v>
      </c>
      <c r="G260" s="3">
        <v>45147</v>
      </c>
      <c r="H260" s="4" t="s">
        <v>291</v>
      </c>
      <c r="I260" s="4" t="s">
        <v>22</v>
      </c>
      <c r="J260" s="4" t="str" cm="1">
        <f t="array" ref="J260">_xlfn.IFS(K260&lt;30,"Young Adult",K260&lt;50,"Adult",K260&gt;=50,"Senior")</f>
        <v>Adult</v>
      </c>
      <c r="K260" s="4">
        <v>45</v>
      </c>
      <c r="L260" s="4" t="s">
        <v>23</v>
      </c>
      <c r="M260" s="4">
        <v>4</v>
      </c>
      <c r="N260" s="16">
        <v>50</v>
      </c>
      <c r="O260" s="17">
        <f>M260*N260</f>
        <v>200</v>
      </c>
      <c r="P260" s="13">
        <f>$O260*$U$4</f>
        <v>3</v>
      </c>
      <c r="Q260" s="13">
        <f>$O260*$U$5</f>
        <v>4</v>
      </c>
      <c r="R260" s="13" cm="1">
        <f t="array" ref="R260">_xlfn.IFS(B260=2023,O260*$U$4,B260=2024,O260*$U$5)</f>
        <v>3</v>
      </c>
    </row>
    <row r="261" spans="1:18">
      <c r="A261" s="2">
        <v>260</v>
      </c>
      <c r="B261" s="4">
        <f t="shared" si="21"/>
        <v>2023</v>
      </c>
      <c r="C261" s="4">
        <f t="shared" si="22"/>
        <v>7</v>
      </c>
      <c r="D261" s="4">
        <f t="shared" si="23"/>
        <v>1</v>
      </c>
      <c r="E261" s="4" t="str">
        <f t="shared" si="24"/>
        <v>Saturday</v>
      </c>
      <c r="F261" s="4" t="str">
        <f t="shared" si="25"/>
        <v>July</v>
      </c>
      <c r="G261" s="3">
        <v>45108</v>
      </c>
      <c r="H261" s="4" t="s">
        <v>292</v>
      </c>
      <c r="I261" s="4" t="s">
        <v>19</v>
      </c>
      <c r="J261" s="4" t="str" cm="1">
        <f t="array" ref="J261">_xlfn.IFS(K261&lt;30,"Young Adult",K261&lt;50,"Adult",K261&gt;=50,"Senior")</f>
        <v>Young Adult</v>
      </c>
      <c r="K261" s="4">
        <v>28</v>
      </c>
      <c r="L261" s="4" t="s">
        <v>20</v>
      </c>
      <c r="M261" s="4">
        <v>2</v>
      </c>
      <c r="N261" s="16">
        <v>30</v>
      </c>
      <c r="O261" s="17">
        <f>M261*N261</f>
        <v>60</v>
      </c>
      <c r="P261" s="13">
        <f>$O261*$U$4</f>
        <v>0.89999999999999991</v>
      </c>
      <c r="Q261" s="13">
        <f>$O261*$U$5</f>
        <v>1.2</v>
      </c>
      <c r="R261" s="13" cm="1">
        <f t="array" ref="R261">_xlfn.IFS(B261=2023,O261*$U$4,B261=2024,O261*$U$5)</f>
        <v>0.89999999999999991</v>
      </c>
    </row>
    <row r="262" spans="1:18">
      <c r="A262" s="2">
        <v>261</v>
      </c>
      <c r="B262" s="4">
        <f t="shared" si="21"/>
        <v>2023</v>
      </c>
      <c r="C262" s="4">
        <f t="shared" si="22"/>
        <v>8</v>
      </c>
      <c r="D262" s="4">
        <f t="shared" si="23"/>
        <v>5</v>
      </c>
      <c r="E262" s="4" t="str">
        <f t="shared" si="24"/>
        <v>Saturday</v>
      </c>
      <c r="F262" s="4" t="str">
        <f t="shared" si="25"/>
        <v>August</v>
      </c>
      <c r="G262" s="3">
        <v>45143</v>
      </c>
      <c r="H262" s="4" t="s">
        <v>293</v>
      </c>
      <c r="I262" s="4" t="s">
        <v>19</v>
      </c>
      <c r="J262" s="4" t="str" cm="1">
        <f t="array" ref="J262">_xlfn.IFS(K262&lt;30,"Young Adult",K262&lt;50,"Adult",K262&gt;=50,"Senior")</f>
        <v>Young Adult</v>
      </c>
      <c r="K262" s="4">
        <v>21</v>
      </c>
      <c r="L262" s="4" t="s">
        <v>23</v>
      </c>
      <c r="M262" s="4">
        <v>2</v>
      </c>
      <c r="N262" s="16">
        <v>25</v>
      </c>
      <c r="O262" s="17">
        <f>M262*N262</f>
        <v>50</v>
      </c>
      <c r="P262" s="13">
        <f>$O262*$U$4</f>
        <v>0.75</v>
      </c>
      <c r="Q262" s="13">
        <f>$O262*$U$5</f>
        <v>1</v>
      </c>
      <c r="R262" s="13" cm="1">
        <f t="array" ref="R262">_xlfn.IFS(B262=2023,O262*$U$4,B262=2024,O262*$U$5)</f>
        <v>0.75</v>
      </c>
    </row>
    <row r="263" spans="1:18">
      <c r="A263" s="2">
        <v>262</v>
      </c>
      <c r="B263" s="4">
        <f t="shared" si="21"/>
        <v>2023</v>
      </c>
      <c r="C263" s="4">
        <f t="shared" si="22"/>
        <v>7</v>
      </c>
      <c r="D263" s="4">
        <f t="shared" si="23"/>
        <v>30</v>
      </c>
      <c r="E263" s="4" t="str">
        <f t="shared" si="24"/>
        <v>Sunday</v>
      </c>
      <c r="F263" s="4" t="str">
        <f t="shared" si="25"/>
        <v>July</v>
      </c>
      <c r="G263" s="3">
        <v>45137</v>
      </c>
      <c r="H263" s="4" t="s">
        <v>294</v>
      </c>
      <c r="I263" s="4" t="s">
        <v>22</v>
      </c>
      <c r="J263" s="4" t="str" cm="1">
        <f t="array" ref="J263">_xlfn.IFS(K263&lt;30,"Young Adult",K263&lt;50,"Adult",K263&gt;=50,"Senior")</f>
        <v>Adult</v>
      </c>
      <c r="K263" s="4">
        <v>32</v>
      </c>
      <c r="L263" s="4" t="s">
        <v>20</v>
      </c>
      <c r="M263" s="4">
        <v>4</v>
      </c>
      <c r="N263" s="16">
        <v>30</v>
      </c>
      <c r="O263" s="17">
        <f>M263*N263</f>
        <v>120</v>
      </c>
      <c r="P263" s="13">
        <f>$O263*$U$4</f>
        <v>1.7999999999999998</v>
      </c>
      <c r="Q263" s="13">
        <f>$O263*$U$5</f>
        <v>2.4</v>
      </c>
      <c r="R263" s="13" cm="1">
        <f t="array" ref="R263">_xlfn.IFS(B263=2023,O263*$U$4,B263=2024,O263*$U$5)</f>
        <v>1.7999999999999998</v>
      </c>
    </row>
    <row r="264" spans="1:18">
      <c r="A264" s="2">
        <v>263</v>
      </c>
      <c r="B264" s="4">
        <f t="shared" si="21"/>
        <v>2023</v>
      </c>
      <c r="C264" s="4">
        <f t="shared" si="22"/>
        <v>8</v>
      </c>
      <c r="D264" s="4">
        <f t="shared" si="23"/>
        <v>28</v>
      </c>
      <c r="E264" s="4" t="str">
        <f t="shared" si="24"/>
        <v>Monday</v>
      </c>
      <c r="F264" s="4" t="str">
        <f t="shared" si="25"/>
        <v>August</v>
      </c>
      <c r="G264" s="3">
        <v>45166</v>
      </c>
      <c r="H264" s="4" t="s">
        <v>295</v>
      </c>
      <c r="I264" s="4" t="s">
        <v>19</v>
      </c>
      <c r="J264" s="4" t="str" cm="1">
        <f t="array" ref="J264">_xlfn.IFS(K264&lt;30,"Young Adult",K264&lt;50,"Adult",K264&gt;=50,"Senior")</f>
        <v>Young Adult</v>
      </c>
      <c r="K264" s="4">
        <v>23</v>
      </c>
      <c r="L264" s="4" t="s">
        <v>20</v>
      </c>
      <c r="M264" s="4">
        <v>2</v>
      </c>
      <c r="N264" s="16">
        <v>30</v>
      </c>
      <c r="O264" s="17">
        <f>M264*N264</f>
        <v>60</v>
      </c>
      <c r="P264" s="13">
        <f>$O264*$U$4</f>
        <v>0.89999999999999991</v>
      </c>
      <c r="Q264" s="13">
        <f>$O264*$U$5</f>
        <v>1.2</v>
      </c>
      <c r="R264" s="13" cm="1">
        <f t="array" ref="R264">_xlfn.IFS(B264=2023,O264*$U$4,B264=2024,O264*$U$5)</f>
        <v>0.89999999999999991</v>
      </c>
    </row>
    <row r="265" spans="1:18">
      <c r="A265" s="2">
        <v>264</v>
      </c>
      <c r="B265" s="4">
        <f t="shared" si="21"/>
        <v>2023</v>
      </c>
      <c r="C265" s="4">
        <f t="shared" si="22"/>
        <v>1</v>
      </c>
      <c r="D265" s="4">
        <f t="shared" si="23"/>
        <v>28</v>
      </c>
      <c r="E265" s="4" t="str">
        <f t="shared" si="24"/>
        <v>Saturday</v>
      </c>
      <c r="F265" s="4" t="str">
        <f t="shared" si="25"/>
        <v>January</v>
      </c>
      <c r="G265" s="3">
        <v>44954</v>
      </c>
      <c r="H265" s="4" t="s">
        <v>296</v>
      </c>
      <c r="I265" s="4" t="s">
        <v>19</v>
      </c>
      <c r="J265" s="4" t="str" cm="1">
        <f t="array" ref="J265">_xlfn.IFS(K265&lt;30,"Young Adult",K265&lt;50,"Adult",K265&gt;=50,"Senior")</f>
        <v>Adult</v>
      </c>
      <c r="K265" s="4">
        <v>47</v>
      </c>
      <c r="L265" s="4" t="s">
        <v>23</v>
      </c>
      <c r="M265" s="4">
        <v>3</v>
      </c>
      <c r="N265" s="16">
        <v>300</v>
      </c>
      <c r="O265" s="17">
        <f>M265*N265</f>
        <v>900</v>
      </c>
      <c r="P265" s="13">
        <f>$O265*$U$4</f>
        <v>13.5</v>
      </c>
      <c r="Q265" s="13">
        <f>$O265*$U$5</f>
        <v>18</v>
      </c>
      <c r="R265" s="13" cm="1">
        <f t="array" ref="R265">_xlfn.IFS(B265=2023,O265*$U$4,B265=2024,O265*$U$5)</f>
        <v>13.5</v>
      </c>
    </row>
    <row r="266" spans="1:18">
      <c r="A266" s="2">
        <v>265</v>
      </c>
      <c r="B266" s="4">
        <f t="shared" si="21"/>
        <v>2023</v>
      </c>
      <c r="C266" s="4">
        <f t="shared" si="22"/>
        <v>12</v>
      </c>
      <c r="D266" s="4">
        <f t="shared" si="23"/>
        <v>11</v>
      </c>
      <c r="E266" s="4" t="str">
        <f t="shared" si="24"/>
        <v>Monday</v>
      </c>
      <c r="F266" s="4" t="str">
        <f t="shared" si="25"/>
        <v>December</v>
      </c>
      <c r="G266" s="3">
        <v>45271</v>
      </c>
      <c r="H266" s="4" t="s">
        <v>297</v>
      </c>
      <c r="I266" s="4" t="s">
        <v>19</v>
      </c>
      <c r="J266" s="4" t="str" cm="1">
        <f t="array" ref="J266">_xlfn.IFS(K266&lt;30,"Young Adult",K266&lt;50,"Adult",K266&gt;=50,"Senior")</f>
        <v>Senior</v>
      </c>
      <c r="K266" s="4">
        <v>55</v>
      </c>
      <c r="L266" s="4" t="s">
        <v>23</v>
      </c>
      <c r="M266" s="4">
        <v>3</v>
      </c>
      <c r="N266" s="16">
        <v>300</v>
      </c>
      <c r="O266" s="17">
        <f>M266*N266</f>
        <v>900</v>
      </c>
      <c r="P266" s="13">
        <f>$O266*$U$4</f>
        <v>13.5</v>
      </c>
      <c r="Q266" s="13">
        <f>$O266*$U$5</f>
        <v>18</v>
      </c>
      <c r="R266" s="13" cm="1">
        <f t="array" ref="R266">_xlfn.IFS(B266=2023,O266*$U$4,B266=2024,O266*$U$5)</f>
        <v>13.5</v>
      </c>
    </row>
    <row r="267" spans="1:18">
      <c r="A267" s="2">
        <v>266</v>
      </c>
      <c r="B267" s="4">
        <f t="shared" si="21"/>
        <v>2023</v>
      </c>
      <c r="C267" s="4">
        <f t="shared" si="22"/>
        <v>12</v>
      </c>
      <c r="D267" s="4">
        <f t="shared" si="23"/>
        <v>1</v>
      </c>
      <c r="E267" s="4" t="str">
        <f t="shared" si="24"/>
        <v>Friday</v>
      </c>
      <c r="F267" s="4" t="str">
        <f t="shared" si="25"/>
        <v>December</v>
      </c>
      <c r="G267" s="3">
        <v>45261</v>
      </c>
      <c r="H267" s="4" t="s">
        <v>298</v>
      </c>
      <c r="I267" s="4" t="s">
        <v>22</v>
      </c>
      <c r="J267" s="4" t="str" cm="1">
        <f t="array" ref="J267">_xlfn.IFS(K267&lt;30,"Young Adult",K267&lt;50,"Adult",K267&gt;=50,"Senior")</f>
        <v>Young Adult</v>
      </c>
      <c r="K267" s="4">
        <v>19</v>
      </c>
      <c r="L267" s="4" t="s">
        <v>26</v>
      </c>
      <c r="M267" s="4">
        <v>2</v>
      </c>
      <c r="N267" s="16">
        <v>30</v>
      </c>
      <c r="O267" s="17">
        <f>M267*N267</f>
        <v>60</v>
      </c>
      <c r="P267" s="13">
        <f>$O267*$U$4</f>
        <v>0.89999999999999991</v>
      </c>
      <c r="Q267" s="13">
        <f>$O267*$U$5</f>
        <v>1.2</v>
      </c>
      <c r="R267" s="13" cm="1">
        <f t="array" ref="R267">_xlfn.IFS(B267=2023,O267*$U$4,B267=2024,O267*$U$5)</f>
        <v>0.89999999999999991</v>
      </c>
    </row>
    <row r="268" spans="1:18">
      <c r="A268" s="2">
        <v>267</v>
      </c>
      <c r="B268" s="4">
        <f t="shared" si="21"/>
        <v>2023</v>
      </c>
      <c r="C268" s="4">
        <f t="shared" si="22"/>
        <v>11</v>
      </c>
      <c r="D268" s="4">
        <f t="shared" si="23"/>
        <v>27</v>
      </c>
      <c r="E268" s="4" t="str">
        <f t="shared" si="24"/>
        <v>Monday</v>
      </c>
      <c r="F268" s="4" t="str">
        <f t="shared" si="25"/>
        <v>November</v>
      </c>
      <c r="G268" s="3">
        <v>45257</v>
      </c>
      <c r="H268" s="4" t="s">
        <v>299</v>
      </c>
      <c r="I268" s="4" t="s">
        <v>22</v>
      </c>
      <c r="J268" s="4" t="str" cm="1">
        <f t="array" ref="J268">_xlfn.IFS(K268&lt;30,"Young Adult",K268&lt;50,"Adult",K268&gt;=50,"Senior")</f>
        <v>Adult</v>
      </c>
      <c r="K268" s="4">
        <v>32</v>
      </c>
      <c r="L268" s="4" t="s">
        <v>20</v>
      </c>
      <c r="M268" s="4">
        <v>3</v>
      </c>
      <c r="N268" s="16">
        <v>30</v>
      </c>
      <c r="O268" s="17">
        <f>M268*N268</f>
        <v>90</v>
      </c>
      <c r="P268" s="13">
        <f>$O268*$U$4</f>
        <v>1.3499999999999999</v>
      </c>
      <c r="Q268" s="13">
        <f>$O268*$U$5</f>
        <v>1.8</v>
      </c>
      <c r="R268" s="13" cm="1">
        <f t="array" ref="R268">_xlfn.IFS(B268=2023,O268*$U$4,B268=2024,O268*$U$5)</f>
        <v>1.3499999999999999</v>
      </c>
    </row>
    <row r="269" spans="1:18">
      <c r="A269" s="2">
        <v>268</v>
      </c>
      <c r="B269" s="4">
        <f t="shared" si="21"/>
        <v>2023</v>
      </c>
      <c r="C269" s="4">
        <f t="shared" si="22"/>
        <v>2</v>
      </c>
      <c r="D269" s="4">
        <f t="shared" si="23"/>
        <v>20</v>
      </c>
      <c r="E269" s="4" t="str">
        <f t="shared" si="24"/>
        <v>Monday</v>
      </c>
      <c r="F269" s="4" t="str">
        <f t="shared" si="25"/>
        <v>February</v>
      </c>
      <c r="G269" s="3">
        <v>44977</v>
      </c>
      <c r="H269" s="4" t="s">
        <v>300</v>
      </c>
      <c r="I269" s="4" t="s">
        <v>22</v>
      </c>
      <c r="J269" s="4" t="str" cm="1">
        <f t="array" ref="J269">_xlfn.IFS(K269&lt;30,"Young Adult",K269&lt;50,"Adult",K269&gt;=50,"Senior")</f>
        <v>Young Adult</v>
      </c>
      <c r="K269" s="4">
        <v>28</v>
      </c>
      <c r="L269" s="4" t="s">
        <v>26</v>
      </c>
      <c r="M269" s="4">
        <v>1</v>
      </c>
      <c r="N269" s="16">
        <v>30</v>
      </c>
      <c r="O269" s="17">
        <f>M269*N269</f>
        <v>30</v>
      </c>
      <c r="P269" s="13">
        <f>$O269*$U$4</f>
        <v>0.44999999999999996</v>
      </c>
      <c r="Q269" s="13">
        <f>$O269*$U$5</f>
        <v>0.6</v>
      </c>
      <c r="R269" s="13" cm="1">
        <f t="array" ref="R269">_xlfn.IFS(B269=2023,O269*$U$4,B269=2024,O269*$U$5)</f>
        <v>0.44999999999999996</v>
      </c>
    </row>
    <row r="270" spans="1:18">
      <c r="A270" s="2">
        <v>269</v>
      </c>
      <c r="B270" s="4">
        <f t="shared" si="21"/>
        <v>2023</v>
      </c>
      <c r="C270" s="4">
        <f t="shared" si="22"/>
        <v>2</v>
      </c>
      <c r="D270" s="4">
        <f t="shared" si="23"/>
        <v>1</v>
      </c>
      <c r="E270" s="4" t="str">
        <f t="shared" si="24"/>
        <v>Wednesday</v>
      </c>
      <c r="F270" s="4" t="str">
        <f t="shared" si="25"/>
        <v>February</v>
      </c>
      <c r="G270" s="3">
        <v>44958</v>
      </c>
      <c r="H270" s="4" t="s">
        <v>301</v>
      </c>
      <c r="I270" s="4" t="s">
        <v>19</v>
      </c>
      <c r="J270" s="4" t="str" cm="1">
        <f t="array" ref="J270">_xlfn.IFS(K270&lt;30,"Young Adult",K270&lt;50,"Adult",K270&gt;=50,"Senior")</f>
        <v>Young Adult</v>
      </c>
      <c r="K270" s="4">
        <v>25</v>
      </c>
      <c r="L270" s="4" t="s">
        <v>23</v>
      </c>
      <c r="M270" s="4">
        <v>4</v>
      </c>
      <c r="N270" s="16">
        <v>500</v>
      </c>
      <c r="O270" s="17">
        <f>M270*N270</f>
        <v>2000</v>
      </c>
      <c r="P270" s="13">
        <f>$O270*$U$4</f>
        <v>30</v>
      </c>
      <c r="Q270" s="13">
        <f>$O270*$U$5</f>
        <v>40</v>
      </c>
      <c r="R270" s="13" cm="1">
        <f t="array" ref="R270">_xlfn.IFS(B270=2023,O270*$U$4,B270=2024,O270*$U$5)</f>
        <v>30</v>
      </c>
    </row>
    <row r="271" spans="1:18">
      <c r="A271" s="2">
        <v>270</v>
      </c>
      <c r="B271" s="4">
        <f t="shared" si="21"/>
        <v>2023</v>
      </c>
      <c r="C271" s="4">
        <f t="shared" si="22"/>
        <v>7</v>
      </c>
      <c r="D271" s="4">
        <f t="shared" si="23"/>
        <v>26</v>
      </c>
      <c r="E271" s="4" t="str">
        <f t="shared" si="24"/>
        <v>Wednesday</v>
      </c>
      <c r="F271" s="4" t="str">
        <f t="shared" si="25"/>
        <v>July</v>
      </c>
      <c r="G271" s="3">
        <v>45133</v>
      </c>
      <c r="H271" s="4" t="s">
        <v>302</v>
      </c>
      <c r="I271" s="4" t="s">
        <v>19</v>
      </c>
      <c r="J271" s="4" t="str" cm="1">
        <f t="array" ref="J271">_xlfn.IFS(K271&lt;30,"Young Adult",K271&lt;50,"Adult",K271&gt;=50,"Senior")</f>
        <v>Adult</v>
      </c>
      <c r="K271" s="4">
        <v>43</v>
      </c>
      <c r="L271" s="4" t="s">
        <v>26</v>
      </c>
      <c r="M271" s="4">
        <v>1</v>
      </c>
      <c r="N271" s="16">
        <v>300</v>
      </c>
      <c r="O271" s="17">
        <f>M271*N271</f>
        <v>300</v>
      </c>
      <c r="P271" s="13">
        <f>$O271*$U$4</f>
        <v>4.5</v>
      </c>
      <c r="Q271" s="13">
        <f>$O271*$U$5</f>
        <v>6</v>
      </c>
      <c r="R271" s="13" cm="1">
        <f t="array" ref="R271">_xlfn.IFS(B271=2023,O271*$U$4,B271=2024,O271*$U$5)</f>
        <v>4.5</v>
      </c>
    </row>
    <row r="272" spans="1:18">
      <c r="A272" s="2">
        <v>271</v>
      </c>
      <c r="B272" s="4">
        <f t="shared" si="21"/>
        <v>2023</v>
      </c>
      <c r="C272" s="4">
        <f t="shared" si="22"/>
        <v>6</v>
      </c>
      <c r="D272" s="4">
        <f t="shared" si="23"/>
        <v>23</v>
      </c>
      <c r="E272" s="4" t="str">
        <f t="shared" si="24"/>
        <v>Friday</v>
      </c>
      <c r="F272" s="4" t="str">
        <f t="shared" si="25"/>
        <v>June</v>
      </c>
      <c r="G272" s="3">
        <v>45100</v>
      </c>
      <c r="H272" s="4" t="s">
        <v>303</v>
      </c>
      <c r="I272" s="4" t="s">
        <v>22</v>
      </c>
      <c r="J272" s="4" t="str" cm="1">
        <f t="array" ref="J272">_xlfn.IFS(K272&lt;30,"Young Adult",K272&lt;50,"Adult",K272&gt;=50,"Senior")</f>
        <v>Senior</v>
      </c>
      <c r="K272" s="4">
        <v>62</v>
      </c>
      <c r="L272" s="4" t="s">
        <v>20</v>
      </c>
      <c r="M272" s="4">
        <v>4</v>
      </c>
      <c r="N272" s="16">
        <v>30</v>
      </c>
      <c r="O272" s="17">
        <f>M272*N272</f>
        <v>120</v>
      </c>
      <c r="P272" s="13">
        <f>$O272*$U$4</f>
        <v>1.7999999999999998</v>
      </c>
      <c r="Q272" s="13">
        <f>$O272*$U$5</f>
        <v>2.4</v>
      </c>
      <c r="R272" s="13" cm="1">
        <f t="array" ref="R272">_xlfn.IFS(B272=2023,O272*$U$4,B272=2024,O272*$U$5)</f>
        <v>1.7999999999999998</v>
      </c>
    </row>
    <row r="273" spans="1:18">
      <c r="A273" s="2">
        <v>272</v>
      </c>
      <c r="B273" s="4">
        <f t="shared" si="21"/>
        <v>2023</v>
      </c>
      <c r="C273" s="4">
        <f t="shared" si="22"/>
        <v>2</v>
      </c>
      <c r="D273" s="4">
        <f t="shared" si="23"/>
        <v>25</v>
      </c>
      <c r="E273" s="4" t="str">
        <f t="shared" si="24"/>
        <v>Saturday</v>
      </c>
      <c r="F273" s="4" t="str">
        <f t="shared" si="25"/>
        <v>February</v>
      </c>
      <c r="G273" s="3">
        <v>44982</v>
      </c>
      <c r="H273" s="4" t="s">
        <v>304</v>
      </c>
      <c r="I273" s="4" t="s">
        <v>22</v>
      </c>
      <c r="J273" s="4" t="str" cm="1">
        <f t="array" ref="J273">_xlfn.IFS(K273&lt;30,"Young Adult",K273&lt;50,"Adult",K273&gt;=50,"Senior")</f>
        <v>Senior</v>
      </c>
      <c r="K273" s="4">
        <v>61</v>
      </c>
      <c r="L273" s="4" t="s">
        <v>26</v>
      </c>
      <c r="M273" s="4">
        <v>2</v>
      </c>
      <c r="N273" s="16">
        <v>50</v>
      </c>
      <c r="O273" s="17">
        <f>M273*N273</f>
        <v>100</v>
      </c>
      <c r="P273" s="13">
        <f>$O273*$U$4</f>
        <v>1.5</v>
      </c>
      <c r="Q273" s="13">
        <f>$O273*$U$5</f>
        <v>2</v>
      </c>
      <c r="R273" s="13" cm="1">
        <f t="array" ref="R273">_xlfn.IFS(B273=2023,O273*$U$4,B273=2024,O273*$U$5)</f>
        <v>1.5</v>
      </c>
    </row>
    <row r="274" spans="1:18">
      <c r="A274" s="2">
        <v>273</v>
      </c>
      <c r="B274" s="4">
        <f t="shared" si="21"/>
        <v>2023</v>
      </c>
      <c r="C274" s="4">
        <f t="shared" si="22"/>
        <v>5</v>
      </c>
      <c r="D274" s="4">
        <f t="shared" si="23"/>
        <v>8</v>
      </c>
      <c r="E274" s="4" t="str">
        <f t="shared" si="24"/>
        <v>Monday</v>
      </c>
      <c r="F274" s="4" t="str">
        <f t="shared" si="25"/>
        <v>May</v>
      </c>
      <c r="G274" s="3">
        <v>45054</v>
      </c>
      <c r="H274" s="4" t="s">
        <v>305</v>
      </c>
      <c r="I274" s="4" t="s">
        <v>22</v>
      </c>
      <c r="J274" s="4" t="str" cm="1">
        <f t="array" ref="J274">_xlfn.IFS(K274&lt;30,"Young Adult",K274&lt;50,"Adult",K274&gt;=50,"Senior")</f>
        <v>Young Adult</v>
      </c>
      <c r="K274" s="4">
        <v>22</v>
      </c>
      <c r="L274" s="4" t="s">
        <v>20</v>
      </c>
      <c r="M274" s="4">
        <v>1</v>
      </c>
      <c r="N274" s="16">
        <v>50</v>
      </c>
      <c r="O274" s="17">
        <f>M274*N274</f>
        <v>50</v>
      </c>
      <c r="P274" s="13">
        <f>$O274*$U$4</f>
        <v>0.75</v>
      </c>
      <c r="Q274" s="13">
        <f>$O274*$U$5</f>
        <v>1</v>
      </c>
      <c r="R274" s="13" cm="1">
        <f t="array" ref="R274">_xlfn.IFS(B274=2023,O274*$U$4,B274=2024,O274*$U$5)</f>
        <v>0.75</v>
      </c>
    </row>
    <row r="275" spans="1:18">
      <c r="A275" s="2">
        <v>274</v>
      </c>
      <c r="B275" s="4">
        <f t="shared" si="21"/>
        <v>2023</v>
      </c>
      <c r="C275" s="4">
        <f t="shared" si="22"/>
        <v>4</v>
      </c>
      <c r="D275" s="4">
        <f t="shared" si="23"/>
        <v>9</v>
      </c>
      <c r="E275" s="4" t="str">
        <f t="shared" si="24"/>
        <v>Sunday</v>
      </c>
      <c r="F275" s="4" t="str">
        <f t="shared" si="25"/>
        <v>April</v>
      </c>
      <c r="G275" s="3">
        <v>45025</v>
      </c>
      <c r="H275" s="4" t="s">
        <v>306</v>
      </c>
      <c r="I275" s="4" t="s">
        <v>22</v>
      </c>
      <c r="J275" s="4" t="str" cm="1">
        <f t="array" ref="J275">_xlfn.IFS(K275&lt;30,"Young Adult",K275&lt;50,"Adult",K275&gt;=50,"Senior")</f>
        <v>Young Adult</v>
      </c>
      <c r="K275" s="4">
        <v>23</v>
      </c>
      <c r="L275" s="4" t="s">
        <v>23</v>
      </c>
      <c r="M275" s="4">
        <v>2</v>
      </c>
      <c r="N275" s="16">
        <v>500</v>
      </c>
      <c r="O275" s="17">
        <f>M275*N275</f>
        <v>1000</v>
      </c>
      <c r="P275" s="13">
        <f>$O275*$U$4</f>
        <v>15</v>
      </c>
      <c r="Q275" s="13">
        <f>$O275*$U$5</f>
        <v>20</v>
      </c>
      <c r="R275" s="13" cm="1">
        <f t="array" ref="R275">_xlfn.IFS(B275=2023,O275*$U$4,B275=2024,O275*$U$5)</f>
        <v>15</v>
      </c>
    </row>
    <row r="276" spans="1:18">
      <c r="A276" s="2">
        <v>275</v>
      </c>
      <c r="B276" s="4">
        <f t="shared" si="21"/>
        <v>2023</v>
      </c>
      <c r="C276" s="4">
        <f t="shared" si="22"/>
        <v>4</v>
      </c>
      <c r="D276" s="4">
        <f t="shared" si="23"/>
        <v>8</v>
      </c>
      <c r="E276" s="4" t="str">
        <f t="shared" si="24"/>
        <v>Saturday</v>
      </c>
      <c r="F276" s="4" t="str">
        <f t="shared" si="25"/>
        <v>April</v>
      </c>
      <c r="G276" s="3">
        <v>45024</v>
      </c>
      <c r="H276" s="4" t="s">
        <v>307</v>
      </c>
      <c r="I276" s="4" t="s">
        <v>19</v>
      </c>
      <c r="J276" s="4" t="str" cm="1">
        <f t="array" ref="J276">_xlfn.IFS(K276&lt;30,"Young Adult",K276&lt;50,"Adult",K276&gt;=50,"Senior")</f>
        <v>Adult</v>
      </c>
      <c r="K276" s="4">
        <v>43</v>
      </c>
      <c r="L276" s="4" t="s">
        <v>23</v>
      </c>
      <c r="M276" s="4">
        <v>2</v>
      </c>
      <c r="N276" s="16">
        <v>500</v>
      </c>
      <c r="O276" s="17">
        <f>M276*N276</f>
        <v>1000</v>
      </c>
      <c r="P276" s="13">
        <f>$O276*$U$4</f>
        <v>15</v>
      </c>
      <c r="Q276" s="13">
        <f>$O276*$U$5</f>
        <v>20</v>
      </c>
      <c r="R276" s="13" cm="1">
        <f t="array" ref="R276">_xlfn.IFS(B276=2023,O276*$U$4,B276=2024,O276*$U$5)</f>
        <v>15</v>
      </c>
    </row>
    <row r="277" spans="1:18">
      <c r="A277" s="2">
        <v>276</v>
      </c>
      <c r="B277" s="4">
        <f t="shared" si="21"/>
        <v>2023</v>
      </c>
      <c r="C277" s="4">
        <f t="shared" si="22"/>
        <v>10</v>
      </c>
      <c r="D277" s="4">
        <f t="shared" si="23"/>
        <v>2</v>
      </c>
      <c r="E277" s="4" t="str">
        <f t="shared" si="24"/>
        <v>Monday</v>
      </c>
      <c r="F277" s="4" t="str">
        <f t="shared" si="25"/>
        <v>October</v>
      </c>
      <c r="G277" s="3">
        <v>45201</v>
      </c>
      <c r="H277" s="4" t="s">
        <v>308</v>
      </c>
      <c r="I277" s="4" t="s">
        <v>22</v>
      </c>
      <c r="J277" s="4" t="str" cm="1">
        <f t="array" ref="J277">_xlfn.IFS(K277&lt;30,"Young Adult",K277&lt;50,"Adult",K277&gt;=50,"Senior")</f>
        <v>Young Adult</v>
      </c>
      <c r="K277" s="4">
        <v>21</v>
      </c>
      <c r="L277" s="4" t="s">
        <v>20</v>
      </c>
      <c r="M277" s="4">
        <v>4</v>
      </c>
      <c r="N277" s="16">
        <v>25</v>
      </c>
      <c r="O277" s="17">
        <f>M277*N277</f>
        <v>100</v>
      </c>
      <c r="P277" s="13">
        <f>$O277*$U$4</f>
        <v>1.5</v>
      </c>
      <c r="Q277" s="13">
        <f>$O277*$U$5</f>
        <v>2</v>
      </c>
      <c r="R277" s="13" cm="1">
        <f t="array" ref="R277">_xlfn.IFS(B277=2023,O277*$U$4,B277=2024,O277*$U$5)</f>
        <v>1.5</v>
      </c>
    </row>
    <row r="278" spans="1:18">
      <c r="A278" s="2">
        <v>277</v>
      </c>
      <c r="B278" s="4">
        <f t="shared" si="21"/>
        <v>2023</v>
      </c>
      <c r="C278" s="4">
        <f t="shared" si="22"/>
        <v>8</v>
      </c>
      <c r="D278" s="4">
        <f t="shared" si="23"/>
        <v>18</v>
      </c>
      <c r="E278" s="4" t="str">
        <f t="shared" si="24"/>
        <v>Friday</v>
      </c>
      <c r="F278" s="4" t="str">
        <f t="shared" si="25"/>
        <v>August</v>
      </c>
      <c r="G278" s="3">
        <v>45156</v>
      </c>
      <c r="H278" s="4" t="s">
        <v>309</v>
      </c>
      <c r="I278" s="4" t="s">
        <v>19</v>
      </c>
      <c r="J278" s="4" t="str" cm="1">
        <f t="array" ref="J278">_xlfn.IFS(K278&lt;30,"Young Adult",K278&lt;50,"Adult",K278&gt;=50,"Senior")</f>
        <v>Adult</v>
      </c>
      <c r="K278" s="4">
        <v>36</v>
      </c>
      <c r="L278" s="4" t="s">
        <v>23</v>
      </c>
      <c r="M278" s="4">
        <v>4</v>
      </c>
      <c r="N278" s="16">
        <v>25</v>
      </c>
      <c r="O278" s="17">
        <f>M278*N278</f>
        <v>100</v>
      </c>
      <c r="P278" s="13">
        <f>$O278*$U$4</f>
        <v>1.5</v>
      </c>
      <c r="Q278" s="13">
        <f>$O278*$U$5</f>
        <v>2</v>
      </c>
      <c r="R278" s="13" cm="1">
        <f t="array" ref="R278">_xlfn.IFS(B278=2023,O278*$U$4,B278=2024,O278*$U$5)</f>
        <v>1.5</v>
      </c>
    </row>
    <row r="279" spans="1:18">
      <c r="A279" s="2">
        <v>278</v>
      </c>
      <c r="B279" s="4">
        <f t="shared" si="21"/>
        <v>2023</v>
      </c>
      <c r="C279" s="4">
        <f t="shared" si="22"/>
        <v>3</v>
      </c>
      <c r="D279" s="4">
        <f t="shared" si="23"/>
        <v>13</v>
      </c>
      <c r="E279" s="4" t="str">
        <f t="shared" si="24"/>
        <v>Monday</v>
      </c>
      <c r="F279" s="4" t="str">
        <f t="shared" si="25"/>
        <v>March</v>
      </c>
      <c r="G279" s="3">
        <v>44998</v>
      </c>
      <c r="H279" s="4" t="s">
        <v>310</v>
      </c>
      <c r="I279" s="4" t="s">
        <v>22</v>
      </c>
      <c r="J279" s="4" t="str" cm="1">
        <f t="array" ref="J279">_xlfn.IFS(K279&lt;30,"Young Adult",K279&lt;50,"Adult",K279&gt;=50,"Senior")</f>
        <v>Adult</v>
      </c>
      <c r="K279" s="4">
        <v>37</v>
      </c>
      <c r="L279" s="4" t="s">
        <v>23</v>
      </c>
      <c r="M279" s="4">
        <v>4</v>
      </c>
      <c r="N279" s="16">
        <v>25</v>
      </c>
      <c r="O279" s="17">
        <f>M279*N279</f>
        <v>100</v>
      </c>
      <c r="P279" s="13">
        <f>$O279*$U$4</f>
        <v>1.5</v>
      </c>
      <c r="Q279" s="13">
        <f>$O279*$U$5</f>
        <v>2</v>
      </c>
      <c r="R279" s="13" cm="1">
        <f t="array" ref="R279">_xlfn.IFS(B279=2023,O279*$U$4,B279=2024,O279*$U$5)</f>
        <v>1.5</v>
      </c>
    </row>
    <row r="280" spans="1:18">
      <c r="A280" s="2">
        <v>279</v>
      </c>
      <c r="B280" s="4">
        <f t="shared" si="21"/>
        <v>2023</v>
      </c>
      <c r="C280" s="4">
        <f t="shared" si="22"/>
        <v>8</v>
      </c>
      <c r="D280" s="4">
        <f t="shared" si="23"/>
        <v>5</v>
      </c>
      <c r="E280" s="4" t="str">
        <f t="shared" si="24"/>
        <v>Saturday</v>
      </c>
      <c r="F280" s="4" t="str">
        <f t="shared" si="25"/>
        <v>August</v>
      </c>
      <c r="G280" s="3">
        <v>45143</v>
      </c>
      <c r="H280" s="4" t="s">
        <v>311</v>
      </c>
      <c r="I280" s="4" t="s">
        <v>19</v>
      </c>
      <c r="J280" s="4" t="str" cm="1">
        <f t="array" ref="J280">_xlfn.IFS(K280&lt;30,"Young Adult",K280&lt;50,"Adult",K280&gt;=50,"Senior")</f>
        <v>Senior</v>
      </c>
      <c r="K280" s="4">
        <v>50</v>
      </c>
      <c r="L280" s="4" t="s">
        <v>23</v>
      </c>
      <c r="M280" s="4">
        <v>1</v>
      </c>
      <c r="N280" s="16">
        <v>500</v>
      </c>
      <c r="O280" s="17">
        <f>M280*N280</f>
        <v>500</v>
      </c>
      <c r="P280" s="13">
        <f>$O280*$U$4</f>
        <v>7.5</v>
      </c>
      <c r="Q280" s="13">
        <f>$O280*$U$5</f>
        <v>10</v>
      </c>
      <c r="R280" s="13" cm="1">
        <f t="array" ref="R280">_xlfn.IFS(B280=2023,O280*$U$4,B280=2024,O280*$U$5)</f>
        <v>7.5</v>
      </c>
    </row>
    <row r="281" spans="1:18">
      <c r="A281" s="2">
        <v>280</v>
      </c>
      <c r="B281" s="4">
        <f t="shared" si="21"/>
        <v>2023</v>
      </c>
      <c r="C281" s="4">
        <f t="shared" si="22"/>
        <v>4</v>
      </c>
      <c r="D281" s="4">
        <f t="shared" si="23"/>
        <v>4</v>
      </c>
      <c r="E281" s="4" t="str">
        <f t="shared" si="24"/>
        <v>Tuesday</v>
      </c>
      <c r="F281" s="4" t="str">
        <f t="shared" si="25"/>
        <v>April</v>
      </c>
      <c r="G281" s="3">
        <v>45020</v>
      </c>
      <c r="H281" s="4" t="s">
        <v>312</v>
      </c>
      <c r="I281" s="4" t="s">
        <v>22</v>
      </c>
      <c r="J281" s="4" t="str" cm="1">
        <f t="array" ref="J281">_xlfn.IFS(K281&lt;30,"Young Adult",K281&lt;50,"Adult",K281&gt;=50,"Senior")</f>
        <v>Adult</v>
      </c>
      <c r="K281" s="4">
        <v>37</v>
      </c>
      <c r="L281" s="4" t="s">
        <v>23</v>
      </c>
      <c r="M281" s="4">
        <v>3</v>
      </c>
      <c r="N281" s="16">
        <v>500</v>
      </c>
      <c r="O281" s="17">
        <f>M281*N281</f>
        <v>1500</v>
      </c>
      <c r="P281" s="13">
        <f>$O281*$U$4</f>
        <v>22.5</v>
      </c>
      <c r="Q281" s="13">
        <f>$O281*$U$5</f>
        <v>30</v>
      </c>
      <c r="R281" s="13" cm="1">
        <f t="array" ref="R281">_xlfn.IFS(B281=2023,O281*$U$4,B281=2024,O281*$U$5)</f>
        <v>22.5</v>
      </c>
    </row>
    <row r="282" spans="1:18">
      <c r="A282" s="2">
        <v>281</v>
      </c>
      <c r="B282" s="4">
        <f t="shared" si="21"/>
        <v>2023</v>
      </c>
      <c r="C282" s="4">
        <f t="shared" si="22"/>
        <v>5</v>
      </c>
      <c r="D282" s="4">
        <f t="shared" si="23"/>
        <v>23</v>
      </c>
      <c r="E282" s="4" t="str">
        <f t="shared" si="24"/>
        <v>Tuesday</v>
      </c>
      <c r="F282" s="4" t="str">
        <f t="shared" si="25"/>
        <v>May</v>
      </c>
      <c r="G282" s="3">
        <v>45069</v>
      </c>
      <c r="H282" s="4" t="s">
        <v>313</v>
      </c>
      <c r="I282" s="4" t="s">
        <v>22</v>
      </c>
      <c r="J282" s="4" t="str" cm="1">
        <f t="array" ref="J282">_xlfn.IFS(K282&lt;30,"Young Adult",K282&lt;50,"Adult",K282&gt;=50,"Senior")</f>
        <v>Young Adult</v>
      </c>
      <c r="K282" s="4">
        <v>29</v>
      </c>
      <c r="L282" s="4" t="s">
        <v>20</v>
      </c>
      <c r="M282" s="4">
        <v>4</v>
      </c>
      <c r="N282" s="16">
        <v>500</v>
      </c>
      <c r="O282" s="17">
        <f>M282*N282</f>
        <v>2000</v>
      </c>
      <c r="P282" s="13">
        <f>$O282*$U$4</f>
        <v>30</v>
      </c>
      <c r="Q282" s="13">
        <f>$O282*$U$5</f>
        <v>40</v>
      </c>
      <c r="R282" s="13" cm="1">
        <f t="array" ref="R282">_xlfn.IFS(B282=2023,O282*$U$4,B282=2024,O282*$U$5)</f>
        <v>30</v>
      </c>
    </row>
    <row r="283" spans="1:18">
      <c r="A283" s="2">
        <v>282</v>
      </c>
      <c r="B283" s="4">
        <f t="shared" si="21"/>
        <v>2023</v>
      </c>
      <c r="C283" s="4">
        <f t="shared" si="22"/>
        <v>8</v>
      </c>
      <c r="D283" s="4">
        <f t="shared" si="23"/>
        <v>25</v>
      </c>
      <c r="E283" s="4" t="str">
        <f t="shared" si="24"/>
        <v>Friday</v>
      </c>
      <c r="F283" s="4" t="str">
        <f t="shared" si="25"/>
        <v>August</v>
      </c>
      <c r="G283" s="3">
        <v>45163</v>
      </c>
      <c r="H283" s="4" t="s">
        <v>314</v>
      </c>
      <c r="I283" s="4" t="s">
        <v>22</v>
      </c>
      <c r="J283" s="4" t="str" cm="1">
        <f t="array" ref="J283">_xlfn.IFS(K283&lt;30,"Young Adult",K283&lt;50,"Adult",K283&gt;=50,"Senior")</f>
        <v>Senior</v>
      </c>
      <c r="K283" s="4">
        <v>64</v>
      </c>
      <c r="L283" s="4" t="s">
        <v>26</v>
      </c>
      <c r="M283" s="4">
        <v>4</v>
      </c>
      <c r="N283" s="16">
        <v>50</v>
      </c>
      <c r="O283" s="17">
        <f>M283*N283</f>
        <v>200</v>
      </c>
      <c r="P283" s="13">
        <f>$O283*$U$4</f>
        <v>3</v>
      </c>
      <c r="Q283" s="13">
        <f>$O283*$U$5</f>
        <v>4</v>
      </c>
      <c r="R283" s="13" cm="1">
        <f t="array" ref="R283">_xlfn.IFS(B283=2023,O283*$U$4,B283=2024,O283*$U$5)</f>
        <v>3</v>
      </c>
    </row>
    <row r="284" spans="1:18">
      <c r="A284" s="2">
        <v>283</v>
      </c>
      <c r="B284" s="4">
        <f t="shared" si="21"/>
        <v>2023</v>
      </c>
      <c r="C284" s="4">
        <f t="shared" si="22"/>
        <v>5</v>
      </c>
      <c r="D284" s="4">
        <f t="shared" si="23"/>
        <v>8</v>
      </c>
      <c r="E284" s="4" t="str">
        <f t="shared" si="24"/>
        <v>Monday</v>
      </c>
      <c r="F284" s="4" t="str">
        <f t="shared" si="25"/>
        <v>May</v>
      </c>
      <c r="G284" s="3">
        <v>45054</v>
      </c>
      <c r="H284" s="4" t="s">
        <v>315</v>
      </c>
      <c r="I284" s="4" t="s">
        <v>22</v>
      </c>
      <c r="J284" s="4" t="str" cm="1">
        <f t="array" ref="J284">_xlfn.IFS(K284&lt;30,"Young Adult",K284&lt;50,"Adult",K284&gt;=50,"Senior")</f>
        <v>Young Adult</v>
      </c>
      <c r="K284" s="4">
        <v>18</v>
      </c>
      <c r="L284" s="4" t="s">
        <v>26</v>
      </c>
      <c r="M284" s="4">
        <v>1</v>
      </c>
      <c r="N284" s="16">
        <v>500</v>
      </c>
      <c r="O284" s="17">
        <f>M284*N284</f>
        <v>500</v>
      </c>
      <c r="P284" s="13">
        <f>$O284*$U$4</f>
        <v>7.5</v>
      </c>
      <c r="Q284" s="13">
        <f>$O284*$U$5</f>
        <v>10</v>
      </c>
      <c r="R284" s="13" cm="1">
        <f t="array" ref="R284">_xlfn.IFS(B284=2023,O284*$U$4,B284=2024,O284*$U$5)</f>
        <v>7.5</v>
      </c>
    </row>
    <row r="285" spans="1:18">
      <c r="A285" s="2">
        <v>284</v>
      </c>
      <c r="B285" s="4">
        <f t="shared" si="21"/>
        <v>2023</v>
      </c>
      <c r="C285" s="4">
        <f t="shared" si="22"/>
        <v>2</v>
      </c>
      <c r="D285" s="4">
        <f t="shared" si="23"/>
        <v>8</v>
      </c>
      <c r="E285" s="4" t="str">
        <f t="shared" si="24"/>
        <v>Wednesday</v>
      </c>
      <c r="F285" s="4" t="str">
        <f t="shared" si="25"/>
        <v>February</v>
      </c>
      <c r="G285" s="3">
        <v>44965</v>
      </c>
      <c r="H285" s="4" t="s">
        <v>316</v>
      </c>
      <c r="I285" s="4" t="s">
        <v>19</v>
      </c>
      <c r="J285" s="4" t="str" cm="1">
        <f t="array" ref="J285">_xlfn.IFS(K285&lt;30,"Young Adult",K285&lt;50,"Adult",K285&gt;=50,"Senior")</f>
        <v>Adult</v>
      </c>
      <c r="K285" s="4">
        <v>43</v>
      </c>
      <c r="L285" s="4" t="s">
        <v>23</v>
      </c>
      <c r="M285" s="4">
        <v>4</v>
      </c>
      <c r="N285" s="16">
        <v>50</v>
      </c>
      <c r="O285" s="17">
        <f>M285*N285</f>
        <v>200</v>
      </c>
      <c r="P285" s="13">
        <f>$O285*$U$4</f>
        <v>3</v>
      </c>
      <c r="Q285" s="13">
        <f>$O285*$U$5</f>
        <v>4</v>
      </c>
      <c r="R285" s="13" cm="1">
        <f t="array" ref="R285">_xlfn.IFS(B285=2023,O285*$U$4,B285=2024,O285*$U$5)</f>
        <v>3</v>
      </c>
    </row>
    <row r="286" spans="1:18">
      <c r="A286" s="2">
        <v>285</v>
      </c>
      <c r="B286" s="4">
        <f t="shared" si="21"/>
        <v>2023</v>
      </c>
      <c r="C286" s="4">
        <f t="shared" si="22"/>
        <v>8</v>
      </c>
      <c r="D286" s="4">
        <f t="shared" si="23"/>
        <v>15</v>
      </c>
      <c r="E286" s="4" t="str">
        <f t="shared" si="24"/>
        <v>Tuesday</v>
      </c>
      <c r="F286" s="4" t="str">
        <f t="shared" si="25"/>
        <v>August</v>
      </c>
      <c r="G286" s="3">
        <v>45153</v>
      </c>
      <c r="H286" s="4" t="s">
        <v>317</v>
      </c>
      <c r="I286" s="4" t="s">
        <v>22</v>
      </c>
      <c r="J286" s="4" t="str" cm="1">
        <f t="array" ref="J286">_xlfn.IFS(K286&lt;30,"Young Adult",K286&lt;50,"Adult",K286&gt;=50,"Senior")</f>
        <v>Adult</v>
      </c>
      <c r="K286" s="4">
        <v>31</v>
      </c>
      <c r="L286" s="4" t="s">
        <v>26</v>
      </c>
      <c r="M286" s="4">
        <v>1</v>
      </c>
      <c r="N286" s="16">
        <v>25</v>
      </c>
      <c r="O286" s="17">
        <f>M286*N286</f>
        <v>25</v>
      </c>
      <c r="P286" s="13">
        <f>$O286*$U$4</f>
        <v>0.375</v>
      </c>
      <c r="Q286" s="13">
        <f>$O286*$U$5</f>
        <v>0.5</v>
      </c>
      <c r="R286" s="13" cm="1">
        <f t="array" ref="R286">_xlfn.IFS(B286=2023,O286*$U$4,B286=2024,O286*$U$5)</f>
        <v>0.375</v>
      </c>
    </row>
    <row r="287" spans="1:18">
      <c r="A287" s="2">
        <v>286</v>
      </c>
      <c r="B287" s="4">
        <f t="shared" si="21"/>
        <v>2023</v>
      </c>
      <c r="C287" s="4">
        <f t="shared" si="22"/>
        <v>10</v>
      </c>
      <c r="D287" s="4">
        <f t="shared" si="23"/>
        <v>9</v>
      </c>
      <c r="E287" s="4" t="str">
        <f t="shared" si="24"/>
        <v>Monday</v>
      </c>
      <c r="F287" s="4" t="str">
        <f t="shared" si="25"/>
        <v>October</v>
      </c>
      <c r="G287" s="3">
        <v>45208</v>
      </c>
      <c r="H287" s="4" t="s">
        <v>318</v>
      </c>
      <c r="I287" s="4" t="s">
        <v>19</v>
      </c>
      <c r="J287" s="4" t="str" cm="1">
        <f t="array" ref="J287">_xlfn.IFS(K287&lt;30,"Young Adult",K287&lt;50,"Adult",K287&gt;=50,"Senior")</f>
        <v>Senior</v>
      </c>
      <c r="K287" s="4">
        <v>55</v>
      </c>
      <c r="L287" s="4" t="s">
        <v>26</v>
      </c>
      <c r="M287" s="4">
        <v>2</v>
      </c>
      <c r="N287" s="16">
        <v>25</v>
      </c>
      <c r="O287" s="17">
        <f>M287*N287</f>
        <v>50</v>
      </c>
      <c r="P287" s="13">
        <f>$O287*$U$4</f>
        <v>0.75</v>
      </c>
      <c r="Q287" s="13">
        <f>$O287*$U$5</f>
        <v>1</v>
      </c>
      <c r="R287" s="13" cm="1">
        <f t="array" ref="R287">_xlfn.IFS(B287=2023,O287*$U$4,B287=2024,O287*$U$5)</f>
        <v>0.75</v>
      </c>
    </row>
    <row r="288" spans="1:18">
      <c r="A288" s="2">
        <v>287</v>
      </c>
      <c r="B288" s="4">
        <f t="shared" si="21"/>
        <v>2023</v>
      </c>
      <c r="C288" s="4">
        <f t="shared" si="22"/>
        <v>2</v>
      </c>
      <c r="D288" s="4">
        <f t="shared" si="23"/>
        <v>20</v>
      </c>
      <c r="E288" s="4" t="str">
        <f t="shared" si="24"/>
        <v>Monday</v>
      </c>
      <c r="F288" s="4" t="str">
        <f t="shared" si="25"/>
        <v>February</v>
      </c>
      <c r="G288" s="3">
        <v>44977</v>
      </c>
      <c r="H288" s="4" t="s">
        <v>319</v>
      </c>
      <c r="I288" s="4" t="s">
        <v>19</v>
      </c>
      <c r="J288" s="4" t="str" cm="1">
        <f t="array" ref="J288">_xlfn.IFS(K288&lt;30,"Young Adult",K288&lt;50,"Adult",K288&gt;=50,"Senior")</f>
        <v>Senior</v>
      </c>
      <c r="K288" s="4">
        <v>54</v>
      </c>
      <c r="L288" s="4" t="s">
        <v>23</v>
      </c>
      <c r="M288" s="4">
        <v>4</v>
      </c>
      <c r="N288" s="16">
        <v>25</v>
      </c>
      <c r="O288" s="17">
        <f>M288*N288</f>
        <v>100</v>
      </c>
      <c r="P288" s="13">
        <f>$O288*$U$4</f>
        <v>1.5</v>
      </c>
      <c r="Q288" s="13">
        <f>$O288*$U$5</f>
        <v>2</v>
      </c>
      <c r="R288" s="13" cm="1">
        <f t="array" ref="R288">_xlfn.IFS(B288=2023,O288*$U$4,B288=2024,O288*$U$5)</f>
        <v>1.5</v>
      </c>
    </row>
    <row r="289" spans="1:18">
      <c r="A289" s="2">
        <v>288</v>
      </c>
      <c r="B289" s="4">
        <f t="shared" si="21"/>
        <v>2023</v>
      </c>
      <c r="C289" s="4">
        <f t="shared" si="22"/>
        <v>1</v>
      </c>
      <c r="D289" s="4">
        <f t="shared" si="23"/>
        <v>26</v>
      </c>
      <c r="E289" s="4" t="str">
        <f t="shared" si="24"/>
        <v>Thursday</v>
      </c>
      <c r="F289" s="4" t="str">
        <f t="shared" si="25"/>
        <v>January</v>
      </c>
      <c r="G289" s="3">
        <v>44952</v>
      </c>
      <c r="H289" s="4" t="s">
        <v>320</v>
      </c>
      <c r="I289" s="4" t="s">
        <v>19</v>
      </c>
      <c r="J289" s="4" t="str" cm="1">
        <f t="array" ref="J289">_xlfn.IFS(K289&lt;30,"Young Adult",K289&lt;50,"Adult",K289&gt;=50,"Senior")</f>
        <v>Young Adult</v>
      </c>
      <c r="K289" s="4">
        <v>28</v>
      </c>
      <c r="L289" s="4" t="s">
        <v>23</v>
      </c>
      <c r="M289" s="4">
        <v>4</v>
      </c>
      <c r="N289" s="16">
        <v>30</v>
      </c>
      <c r="O289" s="17">
        <f>M289*N289</f>
        <v>120</v>
      </c>
      <c r="P289" s="13">
        <f>$O289*$U$4</f>
        <v>1.7999999999999998</v>
      </c>
      <c r="Q289" s="13">
        <f>$O289*$U$5</f>
        <v>2.4</v>
      </c>
      <c r="R289" s="13" cm="1">
        <f t="array" ref="R289">_xlfn.IFS(B289=2023,O289*$U$4,B289=2024,O289*$U$5)</f>
        <v>1.7999999999999998</v>
      </c>
    </row>
    <row r="290" spans="1:18">
      <c r="A290" s="2">
        <v>289</v>
      </c>
      <c r="B290" s="4">
        <f t="shared" si="21"/>
        <v>2023</v>
      </c>
      <c r="C290" s="4">
        <f t="shared" si="22"/>
        <v>11</v>
      </c>
      <c r="D290" s="4">
        <f t="shared" si="23"/>
        <v>30</v>
      </c>
      <c r="E290" s="4" t="str">
        <f t="shared" si="24"/>
        <v>Thursday</v>
      </c>
      <c r="F290" s="4" t="str">
        <f t="shared" si="25"/>
        <v>November</v>
      </c>
      <c r="G290" s="3">
        <v>45260</v>
      </c>
      <c r="H290" s="4" t="s">
        <v>321</v>
      </c>
      <c r="I290" s="4" t="s">
        <v>19</v>
      </c>
      <c r="J290" s="4" t="str" cm="1">
        <f t="array" ref="J290">_xlfn.IFS(K290&lt;30,"Young Adult",K290&lt;50,"Adult",K290&gt;=50,"Senior")</f>
        <v>Senior</v>
      </c>
      <c r="K290" s="4">
        <v>53</v>
      </c>
      <c r="L290" s="4" t="s">
        <v>26</v>
      </c>
      <c r="M290" s="4">
        <v>2</v>
      </c>
      <c r="N290" s="16">
        <v>30</v>
      </c>
      <c r="O290" s="17">
        <f>M290*N290</f>
        <v>60</v>
      </c>
      <c r="P290" s="13">
        <f>$O290*$U$4</f>
        <v>0.89999999999999991</v>
      </c>
      <c r="Q290" s="13">
        <f>$O290*$U$5</f>
        <v>1.2</v>
      </c>
      <c r="R290" s="13" cm="1">
        <f t="array" ref="R290">_xlfn.IFS(B290=2023,O290*$U$4,B290=2024,O290*$U$5)</f>
        <v>0.89999999999999991</v>
      </c>
    </row>
    <row r="291" spans="1:18">
      <c r="A291" s="2">
        <v>290</v>
      </c>
      <c r="B291" s="4">
        <f t="shared" si="21"/>
        <v>2023</v>
      </c>
      <c r="C291" s="4">
        <f t="shared" si="22"/>
        <v>10</v>
      </c>
      <c r="D291" s="4">
        <f t="shared" si="23"/>
        <v>4</v>
      </c>
      <c r="E291" s="4" t="str">
        <f t="shared" si="24"/>
        <v>Wednesday</v>
      </c>
      <c r="F291" s="4" t="str">
        <f t="shared" si="25"/>
        <v>October</v>
      </c>
      <c r="G291" s="3">
        <v>45203</v>
      </c>
      <c r="H291" s="4" t="s">
        <v>322</v>
      </c>
      <c r="I291" s="4" t="s">
        <v>22</v>
      </c>
      <c r="J291" s="4" t="str" cm="1">
        <f t="array" ref="J291">_xlfn.IFS(K291&lt;30,"Young Adult",K291&lt;50,"Adult",K291&gt;=50,"Senior")</f>
        <v>Adult</v>
      </c>
      <c r="K291" s="4">
        <v>30</v>
      </c>
      <c r="L291" s="4" t="s">
        <v>20</v>
      </c>
      <c r="M291" s="4">
        <v>2</v>
      </c>
      <c r="N291" s="16">
        <v>300</v>
      </c>
      <c r="O291" s="17">
        <f>M291*N291</f>
        <v>600</v>
      </c>
      <c r="P291" s="13">
        <f>$O291*$U$4</f>
        <v>9</v>
      </c>
      <c r="Q291" s="13">
        <f>$O291*$U$5</f>
        <v>12</v>
      </c>
      <c r="R291" s="13" cm="1">
        <f t="array" ref="R291">_xlfn.IFS(B291=2023,O291*$U$4,B291=2024,O291*$U$5)</f>
        <v>9</v>
      </c>
    </row>
    <row r="292" spans="1:18">
      <c r="A292" s="2">
        <v>291</v>
      </c>
      <c r="B292" s="4">
        <f t="shared" si="21"/>
        <v>2023</v>
      </c>
      <c r="C292" s="4">
        <f t="shared" si="22"/>
        <v>1</v>
      </c>
      <c r="D292" s="4">
        <f t="shared" si="23"/>
        <v>8</v>
      </c>
      <c r="E292" s="4" t="str">
        <f t="shared" si="24"/>
        <v>Sunday</v>
      </c>
      <c r="F292" s="4" t="str">
        <f t="shared" si="25"/>
        <v>January</v>
      </c>
      <c r="G292" s="3">
        <v>44934</v>
      </c>
      <c r="H292" s="4" t="s">
        <v>323</v>
      </c>
      <c r="I292" s="4" t="s">
        <v>19</v>
      </c>
      <c r="J292" s="4" t="str" cm="1">
        <f t="array" ref="J292">_xlfn.IFS(K292&lt;30,"Young Adult",K292&lt;50,"Adult",K292&gt;=50,"Senior")</f>
        <v>Senior</v>
      </c>
      <c r="K292" s="4">
        <v>60</v>
      </c>
      <c r="L292" s="4" t="s">
        <v>23</v>
      </c>
      <c r="M292" s="4">
        <v>2</v>
      </c>
      <c r="N292" s="16">
        <v>300</v>
      </c>
      <c r="O292" s="17">
        <f>M292*N292</f>
        <v>600</v>
      </c>
      <c r="P292" s="13">
        <f>$O292*$U$4</f>
        <v>9</v>
      </c>
      <c r="Q292" s="13">
        <f>$O292*$U$5</f>
        <v>12</v>
      </c>
      <c r="R292" s="13" cm="1">
        <f t="array" ref="R292">_xlfn.IFS(B292=2023,O292*$U$4,B292=2024,O292*$U$5)</f>
        <v>9</v>
      </c>
    </row>
    <row r="293" spans="1:18">
      <c r="A293" s="2">
        <v>292</v>
      </c>
      <c r="B293" s="4">
        <f t="shared" si="21"/>
        <v>2023</v>
      </c>
      <c r="C293" s="4">
        <f t="shared" si="22"/>
        <v>2</v>
      </c>
      <c r="D293" s="4">
        <f t="shared" si="23"/>
        <v>17</v>
      </c>
      <c r="E293" s="4" t="str">
        <f t="shared" si="24"/>
        <v>Friday</v>
      </c>
      <c r="F293" s="4" t="str">
        <f t="shared" si="25"/>
        <v>February</v>
      </c>
      <c r="G293" s="3">
        <v>44974</v>
      </c>
      <c r="H293" s="4" t="s">
        <v>324</v>
      </c>
      <c r="I293" s="4" t="s">
        <v>19</v>
      </c>
      <c r="J293" s="4" t="str" cm="1">
        <f t="array" ref="J293">_xlfn.IFS(K293&lt;30,"Young Adult",K293&lt;50,"Adult",K293&gt;=50,"Senior")</f>
        <v>Young Adult</v>
      </c>
      <c r="K293" s="4">
        <v>20</v>
      </c>
      <c r="L293" s="4" t="s">
        <v>20</v>
      </c>
      <c r="M293" s="4">
        <v>4</v>
      </c>
      <c r="N293" s="16">
        <v>300</v>
      </c>
      <c r="O293" s="17">
        <f>M293*N293</f>
        <v>1200</v>
      </c>
      <c r="P293" s="13">
        <f>$O293*$U$4</f>
        <v>18</v>
      </c>
      <c r="Q293" s="13">
        <f>$O293*$U$5</f>
        <v>24</v>
      </c>
      <c r="R293" s="13" cm="1">
        <f t="array" ref="R293">_xlfn.IFS(B293=2023,O293*$U$4,B293=2024,O293*$U$5)</f>
        <v>18</v>
      </c>
    </row>
    <row r="294" spans="1:18">
      <c r="A294" s="2">
        <v>293</v>
      </c>
      <c r="B294" s="4">
        <f t="shared" si="21"/>
        <v>2023</v>
      </c>
      <c r="C294" s="4">
        <f t="shared" si="22"/>
        <v>5</v>
      </c>
      <c r="D294" s="4">
        <f t="shared" si="23"/>
        <v>2</v>
      </c>
      <c r="E294" s="4" t="str">
        <f t="shared" si="24"/>
        <v>Tuesday</v>
      </c>
      <c r="F294" s="4" t="str">
        <f t="shared" si="25"/>
        <v>May</v>
      </c>
      <c r="G294" s="3">
        <v>45048</v>
      </c>
      <c r="H294" s="4" t="s">
        <v>325</v>
      </c>
      <c r="I294" s="4" t="s">
        <v>19</v>
      </c>
      <c r="J294" s="4" t="str" cm="1">
        <f t="array" ref="J294">_xlfn.IFS(K294&lt;30,"Young Adult",K294&lt;50,"Adult",K294&gt;=50,"Senior")</f>
        <v>Senior</v>
      </c>
      <c r="K294" s="4">
        <v>50</v>
      </c>
      <c r="L294" s="4" t="s">
        <v>26</v>
      </c>
      <c r="M294" s="4">
        <v>3</v>
      </c>
      <c r="N294" s="16">
        <v>30</v>
      </c>
      <c r="O294" s="17">
        <f>M294*N294</f>
        <v>90</v>
      </c>
      <c r="P294" s="13">
        <f>$O294*$U$4</f>
        <v>1.3499999999999999</v>
      </c>
      <c r="Q294" s="13">
        <f>$O294*$U$5</f>
        <v>1.8</v>
      </c>
      <c r="R294" s="13" cm="1">
        <f t="array" ref="R294">_xlfn.IFS(B294=2023,O294*$U$4,B294=2024,O294*$U$5)</f>
        <v>1.3499999999999999</v>
      </c>
    </row>
    <row r="295" spans="1:18">
      <c r="A295" s="2">
        <v>294</v>
      </c>
      <c r="B295" s="4">
        <f t="shared" si="21"/>
        <v>2023</v>
      </c>
      <c r="C295" s="4">
        <f t="shared" si="22"/>
        <v>3</v>
      </c>
      <c r="D295" s="4">
        <f t="shared" si="23"/>
        <v>27</v>
      </c>
      <c r="E295" s="4" t="str">
        <f t="shared" si="24"/>
        <v>Monday</v>
      </c>
      <c r="F295" s="4" t="str">
        <f t="shared" si="25"/>
        <v>March</v>
      </c>
      <c r="G295" s="3">
        <v>45012</v>
      </c>
      <c r="H295" s="4" t="s">
        <v>326</v>
      </c>
      <c r="I295" s="4" t="s">
        <v>22</v>
      </c>
      <c r="J295" s="4" t="str" cm="1">
        <f t="array" ref="J295">_xlfn.IFS(K295&lt;30,"Young Adult",K295&lt;50,"Adult",K295&gt;=50,"Senior")</f>
        <v>Young Adult</v>
      </c>
      <c r="K295" s="4">
        <v>23</v>
      </c>
      <c r="L295" s="4" t="s">
        <v>23</v>
      </c>
      <c r="M295" s="4">
        <v>3</v>
      </c>
      <c r="N295" s="16">
        <v>30</v>
      </c>
      <c r="O295" s="17">
        <f>M295*N295</f>
        <v>90</v>
      </c>
      <c r="P295" s="13">
        <f>$O295*$U$4</f>
        <v>1.3499999999999999</v>
      </c>
      <c r="Q295" s="13">
        <f>$O295*$U$5</f>
        <v>1.8</v>
      </c>
      <c r="R295" s="13" cm="1">
        <f t="array" ref="R295">_xlfn.IFS(B295=2023,O295*$U$4,B295=2024,O295*$U$5)</f>
        <v>1.3499999999999999</v>
      </c>
    </row>
    <row r="296" spans="1:18">
      <c r="A296" s="2">
        <v>295</v>
      </c>
      <c r="B296" s="4">
        <f t="shared" si="21"/>
        <v>2023</v>
      </c>
      <c r="C296" s="4">
        <f t="shared" si="22"/>
        <v>7</v>
      </c>
      <c r="D296" s="4">
        <f t="shared" si="23"/>
        <v>28</v>
      </c>
      <c r="E296" s="4" t="str">
        <f t="shared" si="24"/>
        <v>Friday</v>
      </c>
      <c r="F296" s="4" t="str">
        <f t="shared" si="25"/>
        <v>July</v>
      </c>
      <c r="G296" s="3">
        <v>45135</v>
      </c>
      <c r="H296" s="4" t="s">
        <v>327</v>
      </c>
      <c r="I296" s="4" t="s">
        <v>22</v>
      </c>
      <c r="J296" s="4" t="str" cm="1">
        <f t="array" ref="J296">_xlfn.IFS(K296&lt;30,"Young Adult",K296&lt;50,"Adult",K296&gt;=50,"Senior")</f>
        <v>Young Adult</v>
      </c>
      <c r="K296" s="4">
        <v>27</v>
      </c>
      <c r="L296" s="4" t="s">
        <v>20</v>
      </c>
      <c r="M296" s="4">
        <v>3</v>
      </c>
      <c r="N296" s="16">
        <v>300</v>
      </c>
      <c r="O296" s="17">
        <f>M296*N296</f>
        <v>900</v>
      </c>
      <c r="P296" s="13">
        <f>$O296*$U$4</f>
        <v>13.5</v>
      </c>
      <c r="Q296" s="13">
        <f>$O296*$U$5</f>
        <v>18</v>
      </c>
      <c r="R296" s="13" cm="1">
        <f t="array" ref="R296">_xlfn.IFS(B296=2023,O296*$U$4,B296=2024,O296*$U$5)</f>
        <v>13.5</v>
      </c>
    </row>
    <row r="297" spans="1:18">
      <c r="A297" s="2">
        <v>296</v>
      </c>
      <c r="B297" s="4">
        <f t="shared" si="21"/>
        <v>2023</v>
      </c>
      <c r="C297" s="4">
        <f t="shared" si="22"/>
        <v>9</v>
      </c>
      <c r="D297" s="4">
        <f t="shared" si="23"/>
        <v>6</v>
      </c>
      <c r="E297" s="4" t="str">
        <f t="shared" si="24"/>
        <v>Wednesday</v>
      </c>
      <c r="F297" s="4" t="str">
        <f t="shared" si="25"/>
        <v>September</v>
      </c>
      <c r="G297" s="3">
        <v>45175</v>
      </c>
      <c r="H297" s="4" t="s">
        <v>328</v>
      </c>
      <c r="I297" s="4" t="s">
        <v>22</v>
      </c>
      <c r="J297" s="4" t="str" cm="1">
        <f t="array" ref="J297">_xlfn.IFS(K297&lt;30,"Young Adult",K297&lt;50,"Adult",K297&gt;=50,"Senior")</f>
        <v>Young Adult</v>
      </c>
      <c r="K297" s="4">
        <v>22</v>
      </c>
      <c r="L297" s="4" t="s">
        <v>23</v>
      </c>
      <c r="M297" s="4">
        <v>4</v>
      </c>
      <c r="N297" s="16">
        <v>300</v>
      </c>
      <c r="O297" s="17">
        <f>M297*N297</f>
        <v>1200</v>
      </c>
      <c r="P297" s="13">
        <f>$O297*$U$4</f>
        <v>18</v>
      </c>
      <c r="Q297" s="13">
        <f>$O297*$U$5</f>
        <v>24</v>
      </c>
      <c r="R297" s="13" cm="1">
        <f t="array" ref="R297">_xlfn.IFS(B297=2023,O297*$U$4,B297=2024,O297*$U$5)</f>
        <v>18</v>
      </c>
    </row>
    <row r="298" spans="1:18">
      <c r="A298" s="2">
        <v>297</v>
      </c>
      <c r="B298" s="4">
        <f t="shared" si="21"/>
        <v>2023</v>
      </c>
      <c r="C298" s="4">
        <f t="shared" si="22"/>
        <v>9</v>
      </c>
      <c r="D298" s="4">
        <f t="shared" si="23"/>
        <v>4</v>
      </c>
      <c r="E298" s="4" t="str">
        <f t="shared" si="24"/>
        <v>Monday</v>
      </c>
      <c r="F298" s="4" t="str">
        <f t="shared" si="25"/>
        <v>September</v>
      </c>
      <c r="G298" s="3">
        <v>45173</v>
      </c>
      <c r="H298" s="4" t="s">
        <v>329</v>
      </c>
      <c r="I298" s="4" t="s">
        <v>22</v>
      </c>
      <c r="J298" s="4" t="str" cm="1">
        <f t="array" ref="J298">_xlfn.IFS(K298&lt;30,"Young Adult",K298&lt;50,"Adult",K298&gt;=50,"Senior")</f>
        <v>Adult</v>
      </c>
      <c r="K298" s="4">
        <v>40</v>
      </c>
      <c r="L298" s="4" t="s">
        <v>26</v>
      </c>
      <c r="M298" s="4">
        <v>2</v>
      </c>
      <c r="N298" s="16">
        <v>500</v>
      </c>
      <c r="O298" s="17">
        <f>M298*N298</f>
        <v>1000</v>
      </c>
      <c r="P298" s="13">
        <f>$O298*$U$4</f>
        <v>15</v>
      </c>
      <c r="Q298" s="13">
        <f>$O298*$U$5</f>
        <v>20</v>
      </c>
      <c r="R298" s="13" cm="1">
        <f t="array" ref="R298">_xlfn.IFS(B298=2023,O298*$U$4,B298=2024,O298*$U$5)</f>
        <v>15</v>
      </c>
    </row>
    <row r="299" spans="1:18">
      <c r="A299" s="2">
        <v>298</v>
      </c>
      <c r="B299" s="4">
        <f t="shared" si="21"/>
        <v>2023</v>
      </c>
      <c r="C299" s="4">
        <f t="shared" si="22"/>
        <v>4</v>
      </c>
      <c r="D299" s="4">
        <f t="shared" si="23"/>
        <v>20</v>
      </c>
      <c r="E299" s="4" t="str">
        <f t="shared" si="24"/>
        <v>Thursday</v>
      </c>
      <c r="F299" s="4" t="str">
        <f t="shared" si="25"/>
        <v>April</v>
      </c>
      <c r="G299" s="3">
        <v>45036</v>
      </c>
      <c r="H299" s="4" t="s">
        <v>330</v>
      </c>
      <c r="I299" s="4" t="s">
        <v>19</v>
      </c>
      <c r="J299" s="4" t="str" cm="1">
        <f t="array" ref="J299">_xlfn.IFS(K299&lt;30,"Young Adult",K299&lt;50,"Adult",K299&gt;=50,"Senior")</f>
        <v>Young Adult</v>
      </c>
      <c r="K299" s="4">
        <v>27</v>
      </c>
      <c r="L299" s="4" t="s">
        <v>20</v>
      </c>
      <c r="M299" s="4">
        <v>4</v>
      </c>
      <c r="N299" s="16">
        <v>300</v>
      </c>
      <c r="O299" s="17">
        <f>M299*N299</f>
        <v>1200</v>
      </c>
      <c r="P299" s="13">
        <f>$O299*$U$4</f>
        <v>18</v>
      </c>
      <c r="Q299" s="13">
        <f>$O299*$U$5</f>
        <v>24</v>
      </c>
      <c r="R299" s="13" cm="1">
        <f t="array" ref="R299">_xlfn.IFS(B299=2023,O299*$U$4,B299=2024,O299*$U$5)</f>
        <v>18</v>
      </c>
    </row>
    <row r="300" spans="1:18">
      <c r="A300" s="2">
        <v>299</v>
      </c>
      <c r="B300" s="4">
        <f t="shared" si="21"/>
        <v>2023</v>
      </c>
      <c r="C300" s="4">
        <f t="shared" si="22"/>
        <v>7</v>
      </c>
      <c r="D300" s="4">
        <f t="shared" si="23"/>
        <v>25</v>
      </c>
      <c r="E300" s="4" t="str">
        <f t="shared" si="24"/>
        <v>Tuesday</v>
      </c>
      <c r="F300" s="4" t="str">
        <f t="shared" si="25"/>
        <v>July</v>
      </c>
      <c r="G300" s="3">
        <v>45132</v>
      </c>
      <c r="H300" s="4" t="s">
        <v>331</v>
      </c>
      <c r="I300" s="4" t="s">
        <v>19</v>
      </c>
      <c r="J300" s="4" t="str" cm="1">
        <f t="array" ref="J300">_xlfn.IFS(K300&lt;30,"Young Adult",K300&lt;50,"Adult",K300&gt;=50,"Senior")</f>
        <v>Senior</v>
      </c>
      <c r="K300" s="4">
        <v>61</v>
      </c>
      <c r="L300" s="4" t="s">
        <v>26</v>
      </c>
      <c r="M300" s="4">
        <v>2</v>
      </c>
      <c r="N300" s="16">
        <v>500</v>
      </c>
      <c r="O300" s="17">
        <f>M300*N300</f>
        <v>1000</v>
      </c>
      <c r="P300" s="13">
        <f>$O300*$U$4</f>
        <v>15</v>
      </c>
      <c r="Q300" s="13">
        <f>$O300*$U$5</f>
        <v>20</v>
      </c>
      <c r="R300" s="13" cm="1">
        <f t="array" ref="R300">_xlfn.IFS(B300=2023,O300*$U$4,B300=2024,O300*$U$5)</f>
        <v>15</v>
      </c>
    </row>
    <row r="301" spans="1:18">
      <c r="A301" s="2">
        <v>300</v>
      </c>
      <c r="B301" s="4">
        <f t="shared" si="21"/>
        <v>2023</v>
      </c>
      <c r="C301" s="4">
        <f t="shared" si="22"/>
        <v>1</v>
      </c>
      <c r="D301" s="4">
        <f t="shared" si="23"/>
        <v>31</v>
      </c>
      <c r="E301" s="4" t="str">
        <f t="shared" si="24"/>
        <v>Tuesday</v>
      </c>
      <c r="F301" s="4" t="str">
        <f t="shared" si="25"/>
        <v>January</v>
      </c>
      <c r="G301" s="3">
        <v>44957</v>
      </c>
      <c r="H301" s="4" t="s">
        <v>332</v>
      </c>
      <c r="I301" s="4" t="s">
        <v>22</v>
      </c>
      <c r="J301" s="4" t="str" cm="1">
        <f t="array" ref="J301">_xlfn.IFS(K301&lt;30,"Young Adult",K301&lt;50,"Adult",K301&gt;=50,"Senior")</f>
        <v>Young Adult</v>
      </c>
      <c r="K301" s="4">
        <v>19</v>
      </c>
      <c r="L301" s="4" t="s">
        <v>26</v>
      </c>
      <c r="M301" s="4">
        <v>4</v>
      </c>
      <c r="N301" s="16">
        <v>50</v>
      </c>
      <c r="O301" s="17">
        <f>M301*N301</f>
        <v>200</v>
      </c>
      <c r="P301" s="13">
        <f>$O301*$U$4</f>
        <v>3</v>
      </c>
      <c r="Q301" s="13">
        <f>$O301*$U$5</f>
        <v>4</v>
      </c>
      <c r="R301" s="13" cm="1">
        <f t="array" ref="R301">_xlfn.IFS(B301=2023,O301*$U$4,B301=2024,O301*$U$5)</f>
        <v>3</v>
      </c>
    </row>
    <row r="302" spans="1:18">
      <c r="A302" s="2">
        <v>301</v>
      </c>
      <c r="B302" s="4">
        <f t="shared" si="21"/>
        <v>2023</v>
      </c>
      <c r="C302" s="4">
        <f t="shared" si="22"/>
        <v>3</v>
      </c>
      <c r="D302" s="4">
        <f t="shared" si="23"/>
        <v>26</v>
      </c>
      <c r="E302" s="4" t="str">
        <f t="shared" si="24"/>
        <v>Sunday</v>
      </c>
      <c r="F302" s="4" t="str">
        <f t="shared" si="25"/>
        <v>March</v>
      </c>
      <c r="G302" s="3">
        <v>45011</v>
      </c>
      <c r="H302" s="4" t="s">
        <v>333</v>
      </c>
      <c r="I302" s="4" t="s">
        <v>19</v>
      </c>
      <c r="J302" s="4" t="str" cm="1">
        <f t="array" ref="J302">_xlfn.IFS(K302&lt;30,"Young Adult",K302&lt;50,"Adult",K302&gt;=50,"Senior")</f>
        <v>Adult</v>
      </c>
      <c r="K302" s="4">
        <v>30</v>
      </c>
      <c r="L302" s="4" t="s">
        <v>23</v>
      </c>
      <c r="M302" s="4">
        <v>4</v>
      </c>
      <c r="N302" s="16">
        <v>30</v>
      </c>
      <c r="O302" s="17">
        <f>M302*N302</f>
        <v>120</v>
      </c>
      <c r="P302" s="13">
        <f>$O302*$U$4</f>
        <v>1.7999999999999998</v>
      </c>
      <c r="Q302" s="13">
        <f>$O302*$U$5</f>
        <v>2.4</v>
      </c>
      <c r="R302" s="13" cm="1">
        <f t="array" ref="R302">_xlfn.IFS(B302=2023,O302*$U$4,B302=2024,O302*$U$5)</f>
        <v>1.7999999999999998</v>
      </c>
    </row>
    <row r="303" spans="1:18">
      <c r="A303" s="2">
        <v>302</v>
      </c>
      <c r="B303" s="4">
        <f t="shared" si="21"/>
        <v>2023</v>
      </c>
      <c r="C303" s="4">
        <f t="shared" si="22"/>
        <v>7</v>
      </c>
      <c r="D303" s="4">
        <f t="shared" si="23"/>
        <v>14</v>
      </c>
      <c r="E303" s="4" t="str">
        <f t="shared" si="24"/>
        <v>Friday</v>
      </c>
      <c r="F303" s="4" t="str">
        <f t="shared" si="25"/>
        <v>July</v>
      </c>
      <c r="G303" s="3">
        <v>45121</v>
      </c>
      <c r="H303" s="4" t="s">
        <v>334</v>
      </c>
      <c r="I303" s="4" t="s">
        <v>19</v>
      </c>
      <c r="J303" s="4" t="str" cm="1">
        <f t="array" ref="J303">_xlfn.IFS(K303&lt;30,"Young Adult",K303&lt;50,"Adult",K303&gt;=50,"Senior")</f>
        <v>Senior</v>
      </c>
      <c r="K303" s="4">
        <v>57</v>
      </c>
      <c r="L303" s="4" t="s">
        <v>20</v>
      </c>
      <c r="M303" s="4">
        <v>2</v>
      </c>
      <c r="N303" s="16">
        <v>300</v>
      </c>
      <c r="O303" s="17">
        <f>M303*N303</f>
        <v>600</v>
      </c>
      <c r="P303" s="13">
        <f>$O303*$U$4</f>
        <v>9</v>
      </c>
      <c r="Q303" s="13">
        <f>$O303*$U$5</f>
        <v>12</v>
      </c>
      <c r="R303" s="13" cm="1">
        <f t="array" ref="R303">_xlfn.IFS(B303=2023,O303*$U$4,B303=2024,O303*$U$5)</f>
        <v>9</v>
      </c>
    </row>
    <row r="304" spans="1:18">
      <c r="A304" s="2">
        <v>303</v>
      </c>
      <c r="B304" s="4">
        <f t="shared" si="21"/>
        <v>2023</v>
      </c>
      <c r="C304" s="4">
        <f t="shared" si="22"/>
        <v>1</v>
      </c>
      <c r="D304" s="4">
        <f t="shared" si="23"/>
        <v>2</v>
      </c>
      <c r="E304" s="4" t="str">
        <f t="shared" si="24"/>
        <v>Monday</v>
      </c>
      <c r="F304" s="4" t="str">
        <f t="shared" si="25"/>
        <v>January</v>
      </c>
      <c r="G304" s="3">
        <v>44928</v>
      </c>
      <c r="H304" s="4" t="s">
        <v>335</v>
      </c>
      <c r="I304" s="4" t="s">
        <v>19</v>
      </c>
      <c r="J304" s="4" t="str" cm="1">
        <f t="array" ref="J304">_xlfn.IFS(K304&lt;30,"Young Adult",K304&lt;50,"Adult",K304&gt;=50,"Senior")</f>
        <v>Young Adult</v>
      </c>
      <c r="K304" s="4">
        <v>19</v>
      </c>
      <c r="L304" s="4" t="s">
        <v>26</v>
      </c>
      <c r="M304" s="4">
        <v>3</v>
      </c>
      <c r="N304" s="16">
        <v>30</v>
      </c>
      <c r="O304" s="17">
        <f>M304*N304</f>
        <v>90</v>
      </c>
      <c r="P304" s="13">
        <f>$O304*$U$4</f>
        <v>1.3499999999999999</v>
      </c>
      <c r="Q304" s="13">
        <f>$O304*$U$5</f>
        <v>1.8</v>
      </c>
      <c r="R304" s="13" cm="1">
        <f t="array" ref="R304">_xlfn.IFS(B304=2023,O304*$U$4,B304=2024,O304*$U$5)</f>
        <v>1.3499999999999999</v>
      </c>
    </row>
    <row r="305" spans="1:18">
      <c r="A305" s="2">
        <v>304</v>
      </c>
      <c r="B305" s="4">
        <f t="shared" si="21"/>
        <v>2023</v>
      </c>
      <c r="C305" s="4">
        <f t="shared" si="22"/>
        <v>7</v>
      </c>
      <c r="D305" s="4">
        <f t="shared" si="23"/>
        <v>19</v>
      </c>
      <c r="E305" s="4" t="str">
        <f t="shared" si="24"/>
        <v>Wednesday</v>
      </c>
      <c r="F305" s="4" t="str">
        <f t="shared" si="25"/>
        <v>July</v>
      </c>
      <c r="G305" s="3">
        <v>45126</v>
      </c>
      <c r="H305" s="4" t="s">
        <v>336</v>
      </c>
      <c r="I305" s="4" t="s">
        <v>22</v>
      </c>
      <c r="J305" s="4" t="str" cm="1">
        <f t="array" ref="J305">_xlfn.IFS(K305&lt;30,"Young Adult",K305&lt;50,"Adult",K305&gt;=50,"Senior")</f>
        <v>Adult</v>
      </c>
      <c r="K305" s="4">
        <v>37</v>
      </c>
      <c r="L305" s="4" t="s">
        <v>26</v>
      </c>
      <c r="M305" s="4">
        <v>2</v>
      </c>
      <c r="N305" s="16">
        <v>30</v>
      </c>
      <c r="O305" s="17">
        <f>M305*N305</f>
        <v>60</v>
      </c>
      <c r="P305" s="13">
        <f>$O305*$U$4</f>
        <v>0.89999999999999991</v>
      </c>
      <c r="Q305" s="13">
        <f>$O305*$U$5</f>
        <v>1.2</v>
      </c>
      <c r="R305" s="13" cm="1">
        <f t="array" ref="R305">_xlfn.IFS(B305=2023,O305*$U$4,B305=2024,O305*$U$5)</f>
        <v>0.89999999999999991</v>
      </c>
    </row>
    <row r="306" spans="1:18">
      <c r="A306" s="2">
        <v>305</v>
      </c>
      <c r="B306" s="4">
        <f t="shared" si="21"/>
        <v>2023</v>
      </c>
      <c r="C306" s="4">
        <f t="shared" si="22"/>
        <v>5</v>
      </c>
      <c r="D306" s="4">
        <f t="shared" si="23"/>
        <v>16</v>
      </c>
      <c r="E306" s="4" t="str">
        <f t="shared" si="24"/>
        <v>Tuesday</v>
      </c>
      <c r="F306" s="4" t="str">
        <f t="shared" si="25"/>
        <v>May</v>
      </c>
      <c r="G306" s="3">
        <v>45062</v>
      </c>
      <c r="H306" s="4" t="s">
        <v>337</v>
      </c>
      <c r="I306" s="4" t="s">
        <v>22</v>
      </c>
      <c r="J306" s="4" t="str" cm="1">
        <f t="array" ref="J306">_xlfn.IFS(K306&lt;30,"Young Adult",K306&lt;50,"Adult",K306&gt;=50,"Senior")</f>
        <v>Young Adult</v>
      </c>
      <c r="K306" s="4">
        <v>18</v>
      </c>
      <c r="L306" s="4" t="s">
        <v>20</v>
      </c>
      <c r="M306" s="4">
        <v>1</v>
      </c>
      <c r="N306" s="16">
        <v>30</v>
      </c>
      <c r="O306" s="17">
        <f>M306*N306</f>
        <v>30</v>
      </c>
      <c r="P306" s="13">
        <f>$O306*$U$4</f>
        <v>0.44999999999999996</v>
      </c>
      <c r="Q306" s="13">
        <f>$O306*$U$5</f>
        <v>0.6</v>
      </c>
      <c r="R306" s="13" cm="1">
        <f t="array" ref="R306">_xlfn.IFS(B306=2023,O306*$U$4,B306=2024,O306*$U$5)</f>
        <v>0.44999999999999996</v>
      </c>
    </row>
    <row r="307" spans="1:18">
      <c r="A307" s="2">
        <v>306</v>
      </c>
      <c r="B307" s="4">
        <f t="shared" si="21"/>
        <v>2023</v>
      </c>
      <c r="C307" s="4">
        <f t="shared" si="22"/>
        <v>8</v>
      </c>
      <c r="D307" s="4">
        <f t="shared" si="23"/>
        <v>21</v>
      </c>
      <c r="E307" s="4" t="str">
        <f t="shared" si="24"/>
        <v>Monday</v>
      </c>
      <c r="F307" s="4" t="str">
        <f t="shared" si="25"/>
        <v>August</v>
      </c>
      <c r="G307" s="3">
        <v>45159</v>
      </c>
      <c r="H307" s="4" t="s">
        <v>338</v>
      </c>
      <c r="I307" s="4" t="s">
        <v>19</v>
      </c>
      <c r="J307" s="4" t="str" cm="1">
        <f t="array" ref="J307">_xlfn.IFS(K307&lt;30,"Young Adult",K307&lt;50,"Adult",K307&gt;=50,"Senior")</f>
        <v>Senior</v>
      </c>
      <c r="K307" s="4">
        <v>54</v>
      </c>
      <c r="L307" s="4" t="s">
        <v>26</v>
      </c>
      <c r="M307" s="4">
        <v>1</v>
      </c>
      <c r="N307" s="16">
        <v>50</v>
      </c>
      <c r="O307" s="17">
        <f>M307*N307</f>
        <v>50</v>
      </c>
      <c r="P307" s="13">
        <f>$O307*$U$4</f>
        <v>0.75</v>
      </c>
      <c r="Q307" s="13">
        <f>$O307*$U$5</f>
        <v>1</v>
      </c>
      <c r="R307" s="13" cm="1">
        <f t="array" ref="R307">_xlfn.IFS(B307=2023,O307*$U$4,B307=2024,O307*$U$5)</f>
        <v>0.75</v>
      </c>
    </row>
    <row r="308" spans="1:18">
      <c r="A308" s="2">
        <v>307</v>
      </c>
      <c r="B308" s="4">
        <f t="shared" si="21"/>
        <v>2023</v>
      </c>
      <c r="C308" s="4">
        <f t="shared" si="22"/>
        <v>5</v>
      </c>
      <c r="D308" s="4">
        <f t="shared" si="23"/>
        <v>27</v>
      </c>
      <c r="E308" s="4" t="str">
        <f t="shared" si="24"/>
        <v>Saturday</v>
      </c>
      <c r="F308" s="4" t="str">
        <f t="shared" si="25"/>
        <v>May</v>
      </c>
      <c r="G308" s="3">
        <v>45073</v>
      </c>
      <c r="H308" s="4" t="s">
        <v>339</v>
      </c>
      <c r="I308" s="4" t="s">
        <v>22</v>
      </c>
      <c r="J308" s="4" t="str" cm="1">
        <f t="array" ref="J308">_xlfn.IFS(K308&lt;30,"Young Adult",K308&lt;50,"Adult",K308&gt;=50,"Senior")</f>
        <v>Young Adult</v>
      </c>
      <c r="K308" s="4">
        <v>26</v>
      </c>
      <c r="L308" s="4" t="s">
        <v>26</v>
      </c>
      <c r="M308" s="4">
        <v>2</v>
      </c>
      <c r="N308" s="16">
        <v>25</v>
      </c>
      <c r="O308" s="17">
        <f>M308*N308</f>
        <v>50</v>
      </c>
      <c r="P308" s="13">
        <f>$O308*$U$4</f>
        <v>0.75</v>
      </c>
      <c r="Q308" s="13">
        <f>$O308*$U$5</f>
        <v>1</v>
      </c>
      <c r="R308" s="13" cm="1">
        <f t="array" ref="R308">_xlfn.IFS(B308=2023,O308*$U$4,B308=2024,O308*$U$5)</f>
        <v>0.75</v>
      </c>
    </row>
    <row r="309" spans="1:18">
      <c r="A309" s="2">
        <v>308</v>
      </c>
      <c r="B309" s="4">
        <f t="shared" si="21"/>
        <v>2023</v>
      </c>
      <c r="C309" s="4">
        <f t="shared" si="22"/>
        <v>8</v>
      </c>
      <c r="D309" s="4">
        <f t="shared" si="23"/>
        <v>5</v>
      </c>
      <c r="E309" s="4" t="str">
        <f t="shared" si="24"/>
        <v>Saturday</v>
      </c>
      <c r="F309" s="4" t="str">
        <f t="shared" si="25"/>
        <v>August</v>
      </c>
      <c r="G309" s="3">
        <v>45143</v>
      </c>
      <c r="H309" s="4" t="s">
        <v>340</v>
      </c>
      <c r="I309" s="4" t="s">
        <v>22</v>
      </c>
      <c r="J309" s="4" t="str" cm="1">
        <f t="array" ref="J309">_xlfn.IFS(K309&lt;30,"Young Adult",K309&lt;50,"Adult",K309&gt;=50,"Senior")</f>
        <v>Adult</v>
      </c>
      <c r="K309" s="4">
        <v>34</v>
      </c>
      <c r="L309" s="4" t="s">
        <v>20</v>
      </c>
      <c r="M309" s="4">
        <v>4</v>
      </c>
      <c r="N309" s="16">
        <v>300</v>
      </c>
      <c r="O309" s="17">
        <f>M309*N309</f>
        <v>1200</v>
      </c>
      <c r="P309" s="13">
        <f>$O309*$U$4</f>
        <v>18</v>
      </c>
      <c r="Q309" s="13">
        <f>$O309*$U$5</f>
        <v>24</v>
      </c>
      <c r="R309" s="13" cm="1">
        <f t="array" ref="R309">_xlfn.IFS(B309=2023,O309*$U$4,B309=2024,O309*$U$5)</f>
        <v>18</v>
      </c>
    </row>
    <row r="310" spans="1:18">
      <c r="A310" s="2">
        <v>309</v>
      </c>
      <c r="B310" s="4">
        <f t="shared" si="21"/>
        <v>2023</v>
      </c>
      <c r="C310" s="4">
        <f t="shared" si="22"/>
        <v>12</v>
      </c>
      <c r="D310" s="4">
        <f t="shared" si="23"/>
        <v>23</v>
      </c>
      <c r="E310" s="4" t="str">
        <f t="shared" si="24"/>
        <v>Saturday</v>
      </c>
      <c r="F310" s="4" t="str">
        <f t="shared" si="25"/>
        <v>December</v>
      </c>
      <c r="G310" s="3">
        <v>45283</v>
      </c>
      <c r="H310" s="4" t="s">
        <v>341</v>
      </c>
      <c r="I310" s="4" t="s">
        <v>22</v>
      </c>
      <c r="J310" s="4" t="str" cm="1">
        <f t="array" ref="J310">_xlfn.IFS(K310&lt;30,"Young Adult",K310&lt;50,"Adult",K310&gt;=50,"Senior")</f>
        <v>Young Adult</v>
      </c>
      <c r="K310" s="4">
        <v>26</v>
      </c>
      <c r="L310" s="4" t="s">
        <v>20</v>
      </c>
      <c r="M310" s="4">
        <v>1</v>
      </c>
      <c r="N310" s="16">
        <v>25</v>
      </c>
      <c r="O310" s="17">
        <f>M310*N310</f>
        <v>25</v>
      </c>
      <c r="P310" s="13">
        <f>$O310*$U$4</f>
        <v>0.375</v>
      </c>
      <c r="Q310" s="13">
        <f>$O310*$U$5</f>
        <v>0.5</v>
      </c>
      <c r="R310" s="13" cm="1">
        <f t="array" ref="R310">_xlfn.IFS(B310=2023,O310*$U$4,B310=2024,O310*$U$5)</f>
        <v>0.375</v>
      </c>
    </row>
    <row r="311" spans="1:18">
      <c r="A311" s="2">
        <v>310</v>
      </c>
      <c r="B311" s="4">
        <f t="shared" si="21"/>
        <v>2023</v>
      </c>
      <c r="C311" s="4">
        <f t="shared" si="22"/>
        <v>10</v>
      </c>
      <c r="D311" s="4">
        <f t="shared" si="23"/>
        <v>12</v>
      </c>
      <c r="E311" s="4" t="str">
        <f t="shared" si="24"/>
        <v>Thursday</v>
      </c>
      <c r="F311" s="4" t="str">
        <f t="shared" si="25"/>
        <v>October</v>
      </c>
      <c r="G311" s="3">
        <v>45211</v>
      </c>
      <c r="H311" s="4" t="s">
        <v>342</v>
      </c>
      <c r="I311" s="4" t="s">
        <v>22</v>
      </c>
      <c r="J311" s="4" t="str" cm="1">
        <f t="array" ref="J311">_xlfn.IFS(K311&lt;30,"Young Adult",K311&lt;50,"Adult",K311&gt;=50,"Senior")</f>
        <v>Young Adult</v>
      </c>
      <c r="K311" s="4">
        <v>28</v>
      </c>
      <c r="L311" s="4" t="s">
        <v>20</v>
      </c>
      <c r="M311" s="4">
        <v>1</v>
      </c>
      <c r="N311" s="16">
        <v>25</v>
      </c>
      <c r="O311" s="17">
        <f>M311*N311</f>
        <v>25</v>
      </c>
      <c r="P311" s="13">
        <f>$O311*$U$4</f>
        <v>0.375</v>
      </c>
      <c r="Q311" s="13">
        <f>$O311*$U$5</f>
        <v>0.5</v>
      </c>
      <c r="R311" s="13" cm="1">
        <f t="array" ref="R311">_xlfn.IFS(B311=2023,O311*$U$4,B311=2024,O311*$U$5)</f>
        <v>0.375</v>
      </c>
    </row>
    <row r="312" spans="1:18">
      <c r="A312" s="2">
        <v>311</v>
      </c>
      <c r="B312" s="4">
        <f t="shared" si="21"/>
        <v>2023</v>
      </c>
      <c r="C312" s="4">
        <f t="shared" si="22"/>
        <v>12</v>
      </c>
      <c r="D312" s="4">
        <f t="shared" si="23"/>
        <v>5</v>
      </c>
      <c r="E312" s="4" t="str">
        <f t="shared" si="24"/>
        <v>Tuesday</v>
      </c>
      <c r="F312" s="4" t="str">
        <f t="shared" si="25"/>
        <v>December</v>
      </c>
      <c r="G312" s="3">
        <v>45265</v>
      </c>
      <c r="H312" s="4" t="s">
        <v>343</v>
      </c>
      <c r="I312" s="4" t="s">
        <v>22</v>
      </c>
      <c r="J312" s="4" t="str" cm="1">
        <f t="array" ref="J312">_xlfn.IFS(K312&lt;30,"Young Adult",K312&lt;50,"Adult",K312&gt;=50,"Senior")</f>
        <v>Adult</v>
      </c>
      <c r="K312" s="4">
        <v>32</v>
      </c>
      <c r="L312" s="4" t="s">
        <v>20</v>
      </c>
      <c r="M312" s="4">
        <v>4</v>
      </c>
      <c r="N312" s="16">
        <v>25</v>
      </c>
      <c r="O312" s="17">
        <f>M312*N312</f>
        <v>100</v>
      </c>
      <c r="P312" s="13">
        <f>$O312*$U$4</f>
        <v>1.5</v>
      </c>
      <c r="Q312" s="13">
        <f>$O312*$U$5</f>
        <v>2</v>
      </c>
      <c r="R312" s="13" cm="1">
        <f t="array" ref="R312">_xlfn.IFS(B312=2023,O312*$U$4,B312=2024,O312*$U$5)</f>
        <v>1.5</v>
      </c>
    </row>
    <row r="313" spans="1:18">
      <c r="A313" s="2">
        <v>312</v>
      </c>
      <c r="B313" s="4">
        <f t="shared" si="21"/>
        <v>2023</v>
      </c>
      <c r="C313" s="4">
        <f t="shared" si="22"/>
        <v>9</v>
      </c>
      <c r="D313" s="4">
        <f t="shared" si="23"/>
        <v>7</v>
      </c>
      <c r="E313" s="4" t="str">
        <f t="shared" si="24"/>
        <v>Thursday</v>
      </c>
      <c r="F313" s="4" t="str">
        <f t="shared" si="25"/>
        <v>September</v>
      </c>
      <c r="G313" s="3">
        <v>45176</v>
      </c>
      <c r="H313" s="4" t="s">
        <v>344</v>
      </c>
      <c r="I313" s="4" t="s">
        <v>19</v>
      </c>
      <c r="J313" s="4" t="str" cm="1">
        <f t="array" ref="J313">_xlfn.IFS(K313&lt;30,"Young Adult",K313&lt;50,"Adult",K313&gt;=50,"Senior")</f>
        <v>Adult</v>
      </c>
      <c r="K313" s="4">
        <v>41</v>
      </c>
      <c r="L313" s="4" t="s">
        <v>23</v>
      </c>
      <c r="M313" s="4">
        <v>4</v>
      </c>
      <c r="N313" s="16">
        <v>30</v>
      </c>
      <c r="O313" s="17">
        <f>M313*N313</f>
        <v>120</v>
      </c>
      <c r="P313" s="13">
        <f>$O313*$U$4</f>
        <v>1.7999999999999998</v>
      </c>
      <c r="Q313" s="13">
        <f>$O313*$U$5</f>
        <v>2.4</v>
      </c>
      <c r="R313" s="13" cm="1">
        <f t="array" ref="R313">_xlfn.IFS(B313=2023,O313*$U$4,B313=2024,O313*$U$5)</f>
        <v>1.7999999999999998</v>
      </c>
    </row>
    <row r="314" spans="1:18">
      <c r="A314" s="2">
        <v>313</v>
      </c>
      <c r="B314" s="4">
        <f t="shared" si="21"/>
        <v>2023</v>
      </c>
      <c r="C314" s="4">
        <f t="shared" si="22"/>
        <v>3</v>
      </c>
      <c r="D314" s="4">
        <f t="shared" si="23"/>
        <v>21</v>
      </c>
      <c r="E314" s="4" t="str">
        <f t="shared" si="24"/>
        <v>Tuesday</v>
      </c>
      <c r="F314" s="4" t="str">
        <f t="shared" si="25"/>
        <v>March</v>
      </c>
      <c r="G314" s="3">
        <v>45006</v>
      </c>
      <c r="H314" s="4" t="s">
        <v>345</v>
      </c>
      <c r="I314" s="4" t="s">
        <v>22</v>
      </c>
      <c r="J314" s="4" t="str" cm="1">
        <f t="array" ref="J314">_xlfn.IFS(K314&lt;30,"Young Adult",K314&lt;50,"Adult",K314&gt;=50,"Senior")</f>
        <v>Senior</v>
      </c>
      <c r="K314" s="4">
        <v>55</v>
      </c>
      <c r="L314" s="4" t="s">
        <v>20</v>
      </c>
      <c r="M314" s="4">
        <v>3</v>
      </c>
      <c r="N314" s="16">
        <v>500</v>
      </c>
      <c r="O314" s="17">
        <f>M314*N314</f>
        <v>1500</v>
      </c>
      <c r="P314" s="13">
        <f>$O314*$U$4</f>
        <v>22.5</v>
      </c>
      <c r="Q314" s="13">
        <f>$O314*$U$5</f>
        <v>30</v>
      </c>
      <c r="R314" s="13" cm="1">
        <f t="array" ref="R314">_xlfn.IFS(B314=2023,O314*$U$4,B314=2024,O314*$U$5)</f>
        <v>22.5</v>
      </c>
    </row>
    <row r="315" spans="1:18">
      <c r="A315" s="2">
        <v>314</v>
      </c>
      <c r="B315" s="4">
        <f t="shared" si="21"/>
        <v>2023</v>
      </c>
      <c r="C315" s="4">
        <f t="shared" si="22"/>
        <v>4</v>
      </c>
      <c r="D315" s="4">
        <f t="shared" si="23"/>
        <v>8</v>
      </c>
      <c r="E315" s="4" t="str">
        <f t="shared" si="24"/>
        <v>Saturday</v>
      </c>
      <c r="F315" s="4" t="str">
        <f t="shared" si="25"/>
        <v>April</v>
      </c>
      <c r="G315" s="3">
        <v>45024</v>
      </c>
      <c r="H315" s="4" t="s">
        <v>346</v>
      </c>
      <c r="I315" s="4" t="s">
        <v>19</v>
      </c>
      <c r="J315" s="4" t="str" cm="1">
        <f t="array" ref="J315">_xlfn.IFS(K315&lt;30,"Young Adult",K315&lt;50,"Adult",K315&gt;=50,"Senior")</f>
        <v>Senior</v>
      </c>
      <c r="K315" s="4">
        <v>52</v>
      </c>
      <c r="L315" s="4" t="s">
        <v>23</v>
      </c>
      <c r="M315" s="4">
        <v>4</v>
      </c>
      <c r="N315" s="16">
        <v>30</v>
      </c>
      <c r="O315" s="17">
        <f>M315*N315</f>
        <v>120</v>
      </c>
      <c r="P315" s="13">
        <f>$O315*$U$4</f>
        <v>1.7999999999999998</v>
      </c>
      <c r="Q315" s="13">
        <f>$O315*$U$5</f>
        <v>2.4</v>
      </c>
      <c r="R315" s="13" cm="1">
        <f t="array" ref="R315">_xlfn.IFS(B315=2023,O315*$U$4,B315=2024,O315*$U$5)</f>
        <v>1.7999999999999998</v>
      </c>
    </row>
    <row r="316" spans="1:18">
      <c r="A316" s="2">
        <v>315</v>
      </c>
      <c r="B316" s="4">
        <f t="shared" si="21"/>
        <v>2023</v>
      </c>
      <c r="C316" s="4">
        <f t="shared" si="22"/>
        <v>6</v>
      </c>
      <c r="D316" s="4">
        <f t="shared" si="23"/>
        <v>1</v>
      </c>
      <c r="E316" s="4" t="str">
        <f t="shared" si="24"/>
        <v>Thursday</v>
      </c>
      <c r="F316" s="4" t="str">
        <f t="shared" si="25"/>
        <v>June</v>
      </c>
      <c r="G316" s="3">
        <v>45078</v>
      </c>
      <c r="H316" s="4" t="s">
        <v>347</v>
      </c>
      <c r="I316" s="4" t="s">
        <v>19</v>
      </c>
      <c r="J316" s="4" t="str" cm="1">
        <f t="array" ref="J316">_xlfn.IFS(K316&lt;30,"Young Adult",K316&lt;50,"Adult",K316&gt;=50,"Senior")</f>
        <v>Adult</v>
      </c>
      <c r="K316" s="4">
        <v>47</v>
      </c>
      <c r="L316" s="4" t="s">
        <v>23</v>
      </c>
      <c r="M316" s="4">
        <v>2</v>
      </c>
      <c r="N316" s="16">
        <v>30</v>
      </c>
      <c r="O316" s="17">
        <f>M316*N316</f>
        <v>60</v>
      </c>
      <c r="P316" s="13">
        <f>$O316*$U$4</f>
        <v>0.89999999999999991</v>
      </c>
      <c r="Q316" s="13">
        <f>$O316*$U$5</f>
        <v>1.2</v>
      </c>
      <c r="R316" s="13" cm="1">
        <f t="array" ref="R316">_xlfn.IFS(B316=2023,O316*$U$4,B316=2024,O316*$U$5)</f>
        <v>0.89999999999999991</v>
      </c>
    </row>
    <row r="317" spans="1:18">
      <c r="A317" s="2">
        <v>316</v>
      </c>
      <c r="B317" s="4">
        <f t="shared" si="21"/>
        <v>2023</v>
      </c>
      <c r="C317" s="4">
        <f t="shared" si="22"/>
        <v>4</v>
      </c>
      <c r="D317" s="4">
        <f t="shared" si="23"/>
        <v>22</v>
      </c>
      <c r="E317" s="4" t="str">
        <f t="shared" si="24"/>
        <v>Saturday</v>
      </c>
      <c r="F317" s="4" t="str">
        <f t="shared" si="25"/>
        <v>April</v>
      </c>
      <c r="G317" s="3">
        <v>45038</v>
      </c>
      <c r="H317" s="4" t="s">
        <v>348</v>
      </c>
      <c r="I317" s="4" t="s">
        <v>22</v>
      </c>
      <c r="J317" s="4" t="str" cm="1">
        <f t="array" ref="J317">_xlfn.IFS(K317&lt;30,"Young Adult",K317&lt;50,"Adult",K317&gt;=50,"Senior")</f>
        <v>Adult</v>
      </c>
      <c r="K317" s="4">
        <v>48</v>
      </c>
      <c r="L317" s="4" t="s">
        <v>23</v>
      </c>
      <c r="M317" s="4">
        <v>2</v>
      </c>
      <c r="N317" s="16">
        <v>25</v>
      </c>
      <c r="O317" s="17">
        <f>M317*N317</f>
        <v>50</v>
      </c>
      <c r="P317" s="13">
        <f>$O317*$U$4</f>
        <v>0.75</v>
      </c>
      <c r="Q317" s="13">
        <f>$O317*$U$5</f>
        <v>1</v>
      </c>
      <c r="R317" s="13" cm="1">
        <f t="array" ref="R317">_xlfn.IFS(B317=2023,O317*$U$4,B317=2024,O317*$U$5)</f>
        <v>0.75</v>
      </c>
    </row>
    <row r="318" spans="1:18">
      <c r="A318" s="2">
        <v>317</v>
      </c>
      <c r="B318" s="4">
        <f t="shared" si="21"/>
        <v>2023</v>
      </c>
      <c r="C318" s="4">
        <f t="shared" si="22"/>
        <v>1</v>
      </c>
      <c r="D318" s="4">
        <f t="shared" si="23"/>
        <v>30</v>
      </c>
      <c r="E318" s="4" t="str">
        <f t="shared" si="24"/>
        <v>Monday</v>
      </c>
      <c r="F318" s="4" t="str">
        <f t="shared" si="25"/>
        <v>January</v>
      </c>
      <c r="G318" s="3">
        <v>44956</v>
      </c>
      <c r="H318" s="4" t="s">
        <v>349</v>
      </c>
      <c r="I318" s="4" t="s">
        <v>19</v>
      </c>
      <c r="J318" s="4" t="str" cm="1">
        <f t="array" ref="J318">_xlfn.IFS(K318&lt;30,"Young Adult",K318&lt;50,"Adult",K318&gt;=50,"Senior")</f>
        <v>Young Adult</v>
      </c>
      <c r="K318" s="4">
        <v>22</v>
      </c>
      <c r="L318" s="4" t="s">
        <v>26</v>
      </c>
      <c r="M318" s="4">
        <v>3</v>
      </c>
      <c r="N318" s="16">
        <v>30</v>
      </c>
      <c r="O318" s="17">
        <f>M318*N318</f>
        <v>90</v>
      </c>
      <c r="P318" s="13">
        <f>$O318*$U$4</f>
        <v>1.3499999999999999</v>
      </c>
      <c r="Q318" s="13">
        <f>$O318*$U$5</f>
        <v>1.8</v>
      </c>
      <c r="R318" s="13" cm="1">
        <f t="array" ref="R318">_xlfn.IFS(B318=2023,O318*$U$4,B318=2024,O318*$U$5)</f>
        <v>1.3499999999999999</v>
      </c>
    </row>
    <row r="319" spans="1:18">
      <c r="A319" s="2">
        <v>318</v>
      </c>
      <c r="B319" s="4">
        <f t="shared" si="21"/>
        <v>2023</v>
      </c>
      <c r="C319" s="4">
        <f t="shared" si="22"/>
        <v>10</v>
      </c>
      <c r="D319" s="4">
        <f t="shared" si="23"/>
        <v>24</v>
      </c>
      <c r="E319" s="4" t="str">
        <f t="shared" si="24"/>
        <v>Tuesday</v>
      </c>
      <c r="F319" s="4" t="str">
        <f t="shared" si="25"/>
        <v>October</v>
      </c>
      <c r="G319" s="3">
        <v>45223</v>
      </c>
      <c r="H319" s="4" t="s">
        <v>350</v>
      </c>
      <c r="I319" s="4" t="s">
        <v>19</v>
      </c>
      <c r="J319" s="4" t="str" cm="1">
        <f t="array" ref="J319">_xlfn.IFS(K319&lt;30,"Young Adult",K319&lt;50,"Adult",K319&gt;=50,"Senior")</f>
        <v>Senior</v>
      </c>
      <c r="K319" s="4">
        <v>61</v>
      </c>
      <c r="L319" s="4" t="s">
        <v>23</v>
      </c>
      <c r="M319" s="4">
        <v>1</v>
      </c>
      <c r="N319" s="16">
        <v>25</v>
      </c>
      <c r="O319" s="17">
        <f>M319*N319</f>
        <v>25</v>
      </c>
      <c r="P319" s="13">
        <f>$O319*$U$4</f>
        <v>0.375</v>
      </c>
      <c r="Q319" s="13">
        <f>$O319*$U$5</f>
        <v>0.5</v>
      </c>
      <c r="R319" s="13" cm="1">
        <f t="array" ref="R319">_xlfn.IFS(B319=2023,O319*$U$4,B319=2024,O319*$U$5)</f>
        <v>0.375</v>
      </c>
    </row>
    <row r="320" spans="1:18">
      <c r="A320" s="2">
        <v>319</v>
      </c>
      <c r="B320" s="4">
        <f t="shared" si="21"/>
        <v>2023</v>
      </c>
      <c r="C320" s="4">
        <f t="shared" si="22"/>
        <v>10</v>
      </c>
      <c r="D320" s="4">
        <f t="shared" si="23"/>
        <v>5</v>
      </c>
      <c r="E320" s="4" t="str">
        <f t="shared" si="24"/>
        <v>Thursday</v>
      </c>
      <c r="F320" s="4" t="str">
        <f t="shared" si="25"/>
        <v>October</v>
      </c>
      <c r="G320" s="3">
        <v>45204</v>
      </c>
      <c r="H320" s="4" t="s">
        <v>351</v>
      </c>
      <c r="I320" s="4" t="s">
        <v>19</v>
      </c>
      <c r="J320" s="4" t="str" cm="1">
        <f t="array" ref="J320">_xlfn.IFS(K320&lt;30,"Young Adult",K320&lt;50,"Adult",K320&gt;=50,"Senior")</f>
        <v>Adult</v>
      </c>
      <c r="K320" s="4">
        <v>31</v>
      </c>
      <c r="L320" s="4" t="s">
        <v>23</v>
      </c>
      <c r="M320" s="4">
        <v>1</v>
      </c>
      <c r="N320" s="16">
        <v>500</v>
      </c>
      <c r="O320" s="17">
        <f>M320*N320</f>
        <v>500</v>
      </c>
      <c r="P320" s="13">
        <f>$O320*$U$4</f>
        <v>7.5</v>
      </c>
      <c r="Q320" s="13">
        <f>$O320*$U$5</f>
        <v>10</v>
      </c>
      <c r="R320" s="13" cm="1">
        <f t="array" ref="R320">_xlfn.IFS(B320=2023,O320*$U$4,B320=2024,O320*$U$5)</f>
        <v>7.5</v>
      </c>
    </row>
    <row r="321" spans="1:18">
      <c r="A321" s="2">
        <v>320</v>
      </c>
      <c r="B321" s="4">
        <f t="shared" si="21"/>
        <v>2023</v>
      </c>
      <c r="C321" s="4">
        <f t="shared" si="22"/>
        <v>2</v>
      </c>
      <c r="D321" s="4">
        <f t="shared" si="23"/>
        <v>1</v>
      </c>
      <c r="E321" s="4" t="str">
        <f t="shared" si="24"/>
        <v>Wednesday</v>
      </c>
      <c r="F321" s="4" t="str">
        <f t="shared" si="25"/>
        <v>February</v>
      </c>
      <c r="G321" s="3">
        <v>44958</v>
      </c>
      <c r="H321" s="4" t="s">
        <v>352</v>
      </c>
      <c r="I321" s="4" t="s">
        <v>22</v>
      </c>
      <c r="J321" s="4" t="str" cm="1">
        <f t="array" ref="J321">_xlfn.IFS(K321&lt;30,"Young Adult",K321&lt;50,"Adult",K321&gt;=50,"Senior")</f>
        <v>Young Adult</v>
      </c>
      <c r="K321" s="4">
        <v>28</v>
      </c>
      <c r="L321" s="4" t="s">
        <v>26</v>
      </c>
      <c r="M321" s="4">
        <v>4</v>
      </c>
      <c r="N321" s="16">
        <v>300</v>
      </c>
      <c r="O321" s="17">
        <f>M321*N321</f>
        <v>1200</v>
      </c>
      <c r="P321" s="13">
        <f>$O321*$U$4</f>
        <v>18</v>
      </c>
      <c r="Q321" s="13">
        <f>$O321*$U$5</f>
        <v>24</v>
      </c>
      <c r="R321" s="13" cm="1">
        <f t="array" ref="R321">_xlfn.IFS(B321=2023,O321*$U$4,B321=2024,O321*$U$5)</f>
        <v>18</v>
      </c>
    </row>
    <row r="322" spans="1:18">
      <c r="A322" s="2">
        <v>321</v>
      </c>
      <c r="B322" s="4">
        <f t="shared" si="21"/>
        <v>2023</v>
      </c>
      <c r="C322" s="4">
        <f t="shared" si="22"/>
        <v>6</v>
      </c>
      <c r="D322" s="4">
        <f t="shared" si="23"/>
        <v>10</v>
      </c>
      <c r="E322" s="4" t="str">
        <f t="shared" si="24"/>
        <v>Saturday</v>
      </c>
      <c r="F322" s="4" t="str">
        <f t="shared" si="25"/>
        <v>June</v>
      </c>
      <c r="G322" s="3">
        <v>45087</v>
      </c>
      <c r="H322" s="4" t="s">
        <v>353</v>
      </c>
      <c r="I322" s="4" t="s">
        <v>22</v>
      </c>
      <c r="J322" s="4" t="str" cm="1">
        <f t="array" ref="J322">_xlfn.IFS(K322&lt;30,"Young Adult",K322&lt;50,"Adult",K322&gt;=50,"Senior")</f>
        <v>Young Adult</v>
      </c>
      <c r="K322" s="4">
        <v>26</v>
      </c>
      <c r="L322" s="4" t="s">
        <v>26</v>
      </c>
      <c r="M322" s="4">
        <v>2</v>
      </c>
      <c r="N322" s="16">
        <v>25</v>
      </c>
      <c r="O322" s="17">
        <f>M322*N322</f>
        <v>50</v>
      </c>
      <c r="P322" s="13">
        <f>$O322*$U$4</f>
        <v>0.75</v>
      </c>
      <c r="Q322" s="13">
        <f>$O322*$U$5</f>
        <v>1</v>
      </c>
      <c r="R322" s="13" cm="1">
        <f t="array" ref="R322">_xlfn.IFS(B322=2023,O322*$U$4,B322=2024,O322*$U$5)</f>
        <v>0.75</v>
      </c>
    </row>
    <row r="323" spans="1:18">
      <c r="A323" s="2">
        <v>322</v>
      </c>
      <c r="B323" s="4">
        <f t="shared" ref="B323:B386" si="26">YEAR(G323)</f>
        <v>2023</v>
      </c>
      <c r="C323" s="4">
        <f t="shared" ref="C323:C386" si="27">MONTH(G323)</f>
        <v>1</v>
      </c>
      <c r="D323" s="4">
        <f t="shared" ref="D323:D386" si="28">DAY(G323)</f>
        <v>30</v>
      </c>
      <c r="E323" s="4" t="str">
        <f t="shared" ref="E323:E386" si="29">TEXT(G323,"dddd")</f>
        <v>Monday</v>
      </c>
      <c r="F323" s="4" t="str">
        <f t="shared" ref="F323:F386" si="30">TEXT(G323,"mmmm")</f>
        <v>January</v>
      </c>
      <c r="G323" s="3">
        <v>44956</v>
      </c>
      <c r="H323" s="4" t="s">
        <v>354</v>
      </c>
      <c r="I323" s="4" t="s">
        <v>19</v>
      </c>
      <c r="J323" s="4" t="str" cm="1">
        <f t="array" ref="J323">_xlfn.IFS(K323&lt;30,"Young Adult",K323&lt;50,"Adult",K323&gt;=50,"Senior")</f>
        <v>Senior</v>
      </c>
      <c r="K323" s="4">
        <v>51</v>
      </c>
      <c r="L323" s="4" t="s">
        <v>26</v>
      </c>
      <c r="M323" s="4">
        <v>1</v>
      </c>
      <c r="N323" s="16">
        <v>500</v>
      </c>
      <c r="O323" s="17">
        <f>M323*N323</f>
        <v>500</v>
      </c>
      <c r="P323" s="13">
        <f>$O323*$U$4</f>
        <v>7.5</v>
      </c>
      <c r="Q323" s="13">
        <f>$O323*$U$5</f>
        <v>10</v>
      </c>
      <c r="R323" s="13" cm="1">
        <f t="array" ref="R323">_xlfn.IFS(B323=2023,O323*$U$4,B323=2024,O323*$U$5)</f>
        <v>7.5</v>
      </c>
    </row>
    <row r="324" spans="1:18">
      <c r="A324" s="2">
        <v>323</v>
      </c>
      <c r="B324" s="4">
        <f t="shared" si="26"/>
        <v>2023</v>
      </c>
      <c r="C324" s="4">
        <f t="shared" si="27"/>
        <v>1</v>
      </c>
      <c r="D324" s="4">
        <f t="shared" si="28"/>
        <v>26</v>
      </c>
      <c r="E324" s="4" t="str">
        <f t="shared" si="29"/>
        <v>Thursday</v>
      </c>
      <c r="F324" s="4" t="str">
        <f t="shared" si="30"/>
        <v>January</v>
      </c>
      <c r="G324" s="3">
        <v>44952</v>
      </c>
      <c r="H324" s="4" t="s">
        <v>355</v>
      </c>
      <c r="I324" s="4" t="s">
        <v>22</v>
      </c>
      <c r="J324" s="4" t="str" cm="1">
        <f t="array" ref="J324">_xlfn.IFS(K324&lt;30,"Young Adult",K324&lt;50,"Adult",K324&gt;=50,"Senior")</f>
        <v>Young Adult</v>
      </c>
      <c r="K324" s="4">
        <v>29</v>
      </c>
      <c r="L324" s="4" t="s">
        <v>20</v>
      </c>
      <c r="M324" s="4">
        <v>3</v>
      </c>
      <c r="N324" s="16">
        <v>300</v>
      </c>
      <c r="O324" s="17">
        <f>M324*N324</f>
        <v>900</v>
      </c>
      <c r="P324" s="13">
        <f>$O324*$U$4</f>
        <v>13.5</v>
      </c>
      <c r="Q324" s="13">
        <f>$O324*$U$5</f>
        <v>18</v>
      </c>
      <c r="R324" s="13" cm="1">
        <f t="array" ref="R324">_xlfn.IFS(B324=2023,O324*$U$4,B324=2024,O324*$U$5)</f>
        <v>13.5</v>
      </c>
    </row>
    <row r="325" spans="1:18">
      <c r="A325" s="2">
        <v>324</v>
      </c>
      <c r="B325" s="4">
        <f t="shared" si="26"/>
        <v>2023</v>
      </c>
      <c r="C325" s="4">
        <f t="shared" si="27"/>
        <v>10</v>
      </c>
      <c r="D325" s="4">
        <f t="shared" si="28"/>
        <v>27</v>
      </c>
      <c r="E325" s="4" t="str">
        <f t="shared" si="29"/>
        <v>Friday</v>
      </c>
      <c r="F325" s="4" t="str">
        <f t="shared" si="30"/>
        <v>October</v>
      </c>
      <c r="G325" s="3">
        <v>45226</v>
      </c>
      <c r="H325" s="4" t="s">
        <v>356</v>
      </c>
      <c r="I325" s="4" t="s">
        <v>22</v>
      </c>
      <c r="J325" s="4" t="str" cm="1">
        <f t="array" ref="J325">_xlfn.IFS(K325&lt;30,"Young Adult",K325&lt;50,"Adult",K325&gt;=50,"Senior")</f>
        <v>Senior</v>
      </c>
      <c r="K325" s="4">
        <v>52</v>
      </c>
      <c r="L325" s="4" t="s">
        <v>26</v>
      </c>
      <c r="M325" s="4">
        <v>3</v>
      </c>
      <c r="N325" s="16">
        <v>50</v>
      </c>
      <c r="O325" s="17">
        <f>M325*N325</f>
        <v>150</v>
      </c>
      <c r="P325" s="13">
        <f>$O325*$U$4</f>
        <v>2.25</v>
      </c>
      <c r="Q325" s="13">
        <f>$O325*$U$5</f>
        <v>3</v>
      </c>
      <c r="R325" s="13" cm="1">
        <f t="array" ref="R325">_xlfn.IFS(B325=2023,O325*$U$4,B325=2024,O325*$U$5)</f>
        <v>2.25</v>
      </c>
    </row>
    <row r="326" spans="1:18">
      <c r="A326" s="2">
        <v>325</v>
      </c>
      <c r="B326" s="4">
        <f t="shared" si="26"/>
        <v>2023</v>
      </c>
      <c r="C326" s="4">
        <f t="shared" si="27"/>
        <v>9</v>
      </c>
      <c r="D326" s="4">
        <f t="shared" si="28"/>
        <v>2</v>
      </c>
      <c r="E326" s="4" t="str">
        <f t="shared" si="29"/>
        <v>Saturday</v>
      </c>
      <c r="F326" s="4" t="str">
        <f t="shared" si="30"/>
        <v>September</v>
      </c>
      <c r="G326" s="3">
        <v>45171</v>
      </c>
      <c r="H326" s="4" t="s">
        <v>357</v>
      </c>
      <c r="I326" s="4" t="s">
        <v>22</v>
      </c>
      <c r="J326" s="4" t="str" cm="1">
        <f t="array" ref="J326">_xlfn.IFS(K326&lt;30,"Young Adult",K326&lt;50,"Adult",K326&gt;=50,"Senior")</f>
        <v>Senior</v>
      </c>
      <c r="K326" s="4">
        <v>52</v>
      </c>
      <c r="L326" s="4" t="s">
        <v>26</v>
      </c>
      <c r="M326" s="4">
        <v>2</v>
      </c>
      <c r="N326" s="16">
        <v>25</v>
      </c>
      <c r="O326" s="17">
        <f>M326*N326</f>
        <v>50</v>
      </c>
      <c r="P326" s="13">
        <f>$O326*$U$4</f>
        <v>0.75</v>
      </c>
      <c r="Q326" s="13">
        <f>$O326*$U$5</f>
        <v>1</v>
      </c>
      <c r="R326" s="13" cm="1">
        <f t="array" ref="R326">_xlfn.IFS(B326=2023,O326*$U$4,B326=2024,O326*$U$5)</f>
        <v>0.75</v>
      </c>
    </row>
    <row r="327" spans="1:18">
      <c r="A327" s="2">
        <v>326</v>
      </c>
      <c r="B327" s="4">
        <f t="shared" si="26"/>
        <v>2023</v>
      </c>
      <c r="C327" s="4">
        <f t="shared" si="27"/>
        <v>9</v>
      </c>
      <c r="D327" s="4">
        <f t="shared" si="28"/>
        <v>15</v>
      </c>
      <c r="E327" s="4" t="str">
        <f t="shared" si="29"/>
        <v>Friday</v>
      </c>
      <c r="F327" s="4" t="str">
        <f t="shared" si="30"/>
        <v>September</v>
      </c>
      <c r="G327" s="3">
        <v>45184</v>
      </c>
      <c r="H327" s="4" t="s">
        <v>358</v>
      </c>
      <c r="I327" s="4" t="s">
        <v>22</v>
      </c>
      <c r="J327" s="4" t="str" cm="1">
        <f t="array" ref="J327">_xlfn.IFS(K327&lt;30,"Young Adult",K327&lt;50,"Adult",K327&gt;=50,"Senior")</f>
        <v>Young Adult</v>
      </c>
      <c r="K327" s="4">
        <v>18</v>
      </c>
      <c r="L327" s="4" t="s">
        <v>23</v>
      </c>
      <c r="M327" s="4">
        <v>3</v>
      </c>
      <c r="N327" s="16">
        <v>25</v>
      </c>
      <c r="O327" s="17">
        <f>M327*N327</f>
        <v>75</v>
      </c>
      <c r="P327" s="13">
        <f>$O327*$U$4</f>
        <v>1.125</v>
      </c>
      <c r="Q327" s="13">
        <f>$O327*$U$5</f>
        <v>1.5</v>
      </c>
      <c r="R327" s="13" cm="1">
        <f t="array" ref="R327">_xlfn.IFS(B327=2023,O327*$U$4,B327=2024,O327*$U$5)</f>
        <v>1.125</v>
      </c>
    </row>
    <row r="328" spans="1:18">
      <c r="A328" s="2">
        <v>327</v>
      </c>
      <c r="B328" s="4">
        <f t="shared" si="26"/>
        <v>2023</v>
      </c>
      <c r="C328" s="4">
        <f t="shared" si="27"/>
        <v>9</v>
      </c>
      <c r="D328" s="4">
        <f t="shared" si="28"/>
        <v>29</v>
      </c>
      <c r="E328" s="4" t="str">
        <f t="shared" si="29"/>
        <v>Friday</v>
      </c>
      <c r="F328" s="4" t="str">
        <f t="shared" si="30"/>
        <v>September</v>
      </c>
      <c r="G328" s="3">
        <v>45198</v>
      </c>
      <c r="H328" s="4" t="s">
        <v>359</v>
      </c>
      <c r="I328" s="4" t="s">
        <v>19</v>
      </c>
      <c r="J328" s="4" t="str" cm="1">
        <f t="array" ref="J328">_xlfn.IFS(K328&lt;30,"Young Adult",K328&lt;50,"Adult",K328&gt;=50,"Senior")</f>
        <v>Senior</v>
      </c>
      <c r="K328" s="4">
        <v>57</v>
      </c>
      <c r="L328" s="4" t="s">
        <v>26</v>
      </c>
      <c r="M328" s="4">
        <v>3</v>
      </c>
      <c r="N328" s="16">
        <v>50</v>
      </c>
      <c r="O328" s="17">
        <f>M328*N328</f>
        <v>150</v>
      </c>
      <c r="P328" s="13">
        <f>$O328*$U$4</f>
        <v>2.25</v>
      </c>
      <c r="Q328" s="13">
        <f>$O328*$U$5</f>
        <v>3</v>
      </c>
      <c r="R328" s="13" cm="1">
        <f t="array" ref="R328">_xlfn.IFS(B328=2023,O328*$U$4,B328=2024,O328*$U$5)</f>
        <v>2.25</v>
      </c>
    </row>
    <row r="329" spans="1:18">
      <c r="A329" s="2">
        <v>328</v>
      </c>
      <c r="B329" s="4">
        <f t="shared" si="26"/>
        <v>2023</v>
      </c>
      <c r="C329" s="4">
        <f t="shared" si="27"/>
        <v>3</v>
      </c>
      <c r="D329" s="4">
        <f t="shared" si="28"/>
        <v>22</v>
      </c>
      <c r="E329" s="4" t="str">
        <f t="shared" si="29"/>
        <v>Wednesday</v>
      </c>
      <c r="F329" s="4" t="str">
        <f t="shared" si="30"/>
        <v>March</v>
      </c>
      <c r="G329" s="3">
        <v>45007</v>
      </c>
      <c r="H329" s="4" t="s">
        <v>360</v>
      </c>
      <c r="I329" s="4" t="s">
        <v>19</v>
      </c>
      <c r="J329" s="4" t="str" cm="1">
        <f t="array" ref="J329">_xlfn.IFS(K329&lt;30,"Young Adult",K329&lt;50,"Adult",K329&gt;=50,"Senior")</f>
        <v>Adult</v>
      </c>
      <c r="K329" s="4">
        <v>39</v>
      </c>
      <c r="L329" s="4" t="s">
        <v>20</v>
      </c>
      <c r="M329" s="4">
        <v>2</v>
      </c>
      <c r="N329" s="16">
        <v>50</v>
      </c>
      <c r="O329" s="17">
        <f>M329*N329</f>
        <v>100</v>
      </c>
      <c r="P329" s="13">
        <f>$O329*$U$4</f>
        <v>1.5</v>
      </c>
      <c r="Q329" s="13">
        <f>$O329*$U$5</f>
        <v>2</v>
      </c>
      <c r="R329" s="13" cm="1">
        <f t="array" ref="R329">_xlfn.IFS(B329=2023,O329*$U$4,B329=2024,O329*$U$5)</f>
        <v>1.5</v>
      </c>
    </row>
    <row r="330" spans="1:18">
      <c r="A330" s="2">
        <v>329</v>
      </c>
      <c r="B330" s="4">
        <f t="shared" si="26"/>
        <v>2023</v>
      </c>
      <c r="C330" s="4">
        <f t="shared" si="27"/>
        <v>1</v>
      </c>
      <c r="D330" s="4">
        <f t="shared" si="28"/>
        <v>30</v>
      </c>
      <c r="E330" s="4" t="str">
        <f t="shared" si="29"/>
        <v>Monday</v>
      </c>
      <c r="F330" s="4" t="str">
        <f t="shared" si="30"/>
        <v>January</v>
      </c>
      <c r="G330" s="3">
        <v>44956</v>
      </c>
      <c r="H330" s="4" t="s">
        <v>361</v>
      </c>
      <c r="I330" s="4" t="s">
        <v>22</v>
      </c>
      <c r="J330" s="4" t="str" cm="1">
        <f t="array" ref="J330">_xlfn.IFS(K330&lt;30,"Young Adult",K330&lt;50,"Adult",K330&gt;=50,"Senior")</f>
        <v>Adult</v>
      </c>
      <c r="K330" s="4">
        <v>46</v>
      </c>
      <c r="L330" s="4" t="s">
        <v>26</v>
      </c>
      <c r="M330" s="4">
        <v>4</v>
      </c>
      <c r="N330" s="16">
        <v>25</v>
      </c>
      <c r="O330" s="17">
        <f>M330*N330</f>
        <v>100</v>
      </c>
      <c r="P330" s="13">
        <f>$O330*$U$4</f>
        <v>1.5</v>
      </c>
      <c r="Q330" s="13">
        <f>$O330*$U$5</f>
        <v>2</v>
      </c>
      <c r="R330" s="13" cm="1">
        <f t="array" ref="R330">_xlfn.IFS(B330=2023,O330*$U$4,B330=2024,O330*$U$5)</f>
        <v>1.5</v>
      </c>
    </row>
    <row r="331" spans="1:18">
      <c r="A331" s="2">
        <v>330</v>
      </c>
      <c r="B331" s="4">
        <f t="shared" si="26"/>
        <v>2023</v>
      </c>
      <c r="C331" s="4">
        <f t="shared" si="27"/>
        <v>9</v>
      </c>
      <c r="D331" s="4">
        <f t="shared" si="28"/>
        <v>18</v>
      </c>
      <c r="E331" s="4" t="str">
        <f t="shared" si="29"/>
        <v>Monday</v>
      </c>
      <c r="F331" s="4" t="str">
        <f t="shared" si="30"/>
        <v>September</v>
      </c>
      <c r="G331" s="3">
        <v>45187</v>
      </c>
      <c r="H331" s="4" t="s">
        <v>362</v>
      </c>
      <c r="I331" s="4" t="s">
        <v>22</v>
      </c>
      <c r="J331" s="4" t="str" cm="1">
        <f t="array" ref="J331">_xlfn.IFS(K331&lt;30,"Young Adult",K331&lt;50,"Adult",K331&gt;=50,"Senior")</f>
        <v>Young Adult</v>
      </c>
      <c r="K331" s="4">
        <v>25</v>
      </c>
      <c r="L331" s="4" t="s">
        <v>20</v>
      </c>
      <c r="M331" s="4">
        <v>4</v>
      </c>
      <c r="N331" s="16">
        <v>50</v>
      </c>
      <c r="O331" s="17">
        <f>M331*N331</f>
        <v>200</v>
      </c>
      <c r="P331" s="13">
        <f>$O331*$U$4</f>
        <v>3</v>
      </c>
      <c r="Q331" s="13">
        <f>$O331*$U$5</f>
        <v>4</v>
      </c>
      <c r="R331" s="13" cm="1">
        <f t="array" ref="R331">_xlfn.IFS(B331=2023,O331*$U$4,B331=2024,O331*$U$5)</f>
        <v>3</v>
      </c>
    </row>
    <row r="332" spans="1:18">
      <c r="A332" s="2">
        <v>331</v>
      </c>
      <c r="B332" s="4">
        <f t="shared" si="26"/>
        <v>2023</v>
      </c>
      <c r="C332" s="4">
        <f t="shared" si="27"/>
        <v>2</v>
      </c>
      <c r="D332" s="4">
        <f t="shared" si="28"/>
        <v>11</v>
      </c>
      <c r="E332" s="4" t="str">
        <f t="shared" si="29"/>
        <v>Saturday</v>
      </c>
      <c r="F332" s="4" t="str">
        <f t="shared" si="30"/>
        <v>February</v>
      </c>
      <c r="G332" s="3">
        <v>44968</v>
      </c>
      <c r="H332" s="4" t="s">
        <v>363</v>
      </c>
      <c r="I332" s="4" t="s">
        <v>19</v>
      </c>
      <c r="J332" s="4" t="str" cm="1">
        <f t="array" ref="J332">_xlfn.IFS(K332&lt;30,"Young Adult",K332&lt;50,"Adult",K332&gt;=50,"Senior")</f>
        <v>Young Adult</v>
      </c>
      <c r="K332" s="4">
        <v>28</v>
      </c>
      <c r="L332" s="4" t="s">
        <v>26</v>
      </c>
      <c r="M332" s="4">
        <v>3</v>
      </c>
      <c r="N332" s="16">
        <v>30</v>
      </c>
      <c r="O332" s="17">
        <f>M332*N332</f>
        <v>90</v>
      </c>
      <c r="P332" s="13">
        <f>$O332*$U$4</f>
        <v>1.3499999999999999</v>
      </c>
      <c r="Q332" s="13">
        <f>$O332*$U$5</f>
        <v>1.8</v>
      </c>
      <c r="R332" s="13" cm="1">
        <f t="array" ref="R332">_xlfn.IFS(B332=2023,O332*$U$4,B332=2024,O332*$U$5)</f>
        <v>1.3499999999999999</v>
      </c>
    </row>
    <row r="333" spans="1:18">
      <c r="A333" s="2">
        <v>332</v>
      </c>
      <c r="B333" s="4">
        <f t="shared" si="26"/>
        <v>2023</v>
      </c>
      <c r="C333" s="4">
        <f t="shared" si="27"/>
        <v>4</v>
      </c>
      <c r="D333" s="4">
        <f t="shared" si="28"/>
        <v>6</v>
      </c>
      <c r="E333" s="4" t="str">
        <f t="shared" si="29"/>
        <v>Thursday</v>
      </c>
      <c r="F333" s="4" t="str">
        <f t="shared" si="30"/>
        <v>April</v>
      </c>
      <c r="G333" s="3">
        <v>45022</v>
      </c>
      <c r="H333" s="4" t="s">
        <v>364</v>
      </c>
      <c r="I333" s="4" t="s">
        <v>19</v>
      </c>
      <c r="J333" s="4" t="str" cm="1">
        <f t="array" ref="J333">_xlfn.IFS(K333&lt;30,"Young Adult",K333&lt;50,"Adult",K333&gt;=50,"Senior")</f>
        <v>Senior</v>
      </c>
      <c r="K333" s="4">
        <v>58</v>
      </c>
      <c r="L333" s="4" t="s">
        <v>26</v>
      </c>
      <c r="M333" s="4">
        <v>4</v>
      </c>
      <c r="N333" s="16">
        <v>300</v>
      </c>
      <c r="O333" s="17">
        <f>M333*N333</f>
        <v>1200</v>
      </c>
      <c r="P333" s="13">
        <f>$O333*$U$4</f>
        <v>18</v>
      </c>
      <c r="Q333" s="13">
        <f>$O333*$U$5</f>
        <v>24</v>
      </c>
      <c r="R333" s="13" cm="1">
        <f t="array" ref="R333">_xlfn.IFS(B333=2023,O333*$U$4,B333=2024,O333*$U$5)</f>
        <v>18</v>
      </c>
    </row>
    <row r="334" spans="1:18">
      <c r="A334" s="2">
        <v>333</v>
      </c>
      <c r="B334" s="4">
        <f t="shared" si="26"/>
        <v>2023</v>
      </c>
      <c r="C334" s="4">
        <f t="shared" si="27"/>
        <v>2</v>
      </c>
      <c r="D334" s="4">
        <f t="shared" si="28"/>
        <v>5</v>
      </c>
      <c r="E334" s="4" t="str">
        <f t="shared" si="29"/>
        <v>Sunday</v>
      </c>
      <c r="F334" s="4" t="str">
        <f t="shared" si="30"/>
        <v>February</v>
      </c>
      <c r="G334" s="3">
        <v>44962</v>
      </c>
      <c r="H334" s="4" t="s">
        <v>365</v>
      </c>
      <c r="I334" s="4" t="s">
        <v>22</v>
      </c>
      <c r="J334" s="4" t="str" cm="1">
        <f t="array" ref="J334">_xlfn.IFS(K334&lt;30,"Young Adult",K334&lt;50,"Adult",K334&gt;=50,"Senior")</f>
        <v>Senior</v>
      </c>
      <c r="K334" s="4">
        <v>54</v>
      </c>
      <c r="L334" s="4" t="s">
        <v>26</v>
      </c>
      <c r="M334" s="4">
        <v>4</v>
      </c>
      <c r="N334" s="16">
        <v>300</v>
      </c>
      <c r="O334" s="17">
        <f>M334*N334</f>
        <v>1200</v>
      </c>
      <c r="P334" s="13">
        <f>$O334*$U$4</f>
        <v>18</v>
      </c>
      <c r="Q334" s="13">
        <f>$O334*$U$5</f>
        <v>24</v>
      </c>
      <c r="R334" s="13" cm="1">
        <f t="array" ref="R334">_xlfn.IFS(B334=2023,O334*$U$4,B334=2024,O334*$U$5)</f>
        <v>18</v>
      </c>
    </row>
    <row r="335" spans="1:18">
      <c r="A335" s="2">
        <v>334</v>
      </c>
      <c r="B335" s="4">
        <f t="shared" si="26"/>
        <v>2023</v>
      </c>
      <c r="C335" s="4">
        <f t="shared" si="27"/>
        <v>11</v>
      </c>
      <c r="D335" s="4">
        <f t="shared" si="28"/>
        <v>1</v>
      </c>
      <c r="E335" s="4" t="str">
        <f t="shared" si="29"/>
        <v>Wednesday</v>
      </c>
      <c r="F335" s="4" t="str">
        <f t="shared" si="30"/>
        <v>November</v>
      </c>
      <c r="G335" s="3">
        <v>45231</v>
      </c>
      <c r="H335" s="4" t="s">
        <v>366</v>
      </c>
      <c r="I335" s="4" t="s">
        <v>19</v>
      </c>
      <c r="J335" s="4" t="str" cm="1">
        <f t="array" ref="J335">_xlfn.IFS(K335&lt;30,"Young Adult",K335&lt;50,"Adult",K335&gt;=50,"Senior")</f>
        <v>Adult</v>
      </c>
      <c r="K335" s="4">
        <v>31</v>
      </c>
      <c r="L335" s="4" t="s">
        <v>26</v>
      </c>
      <c r="M335" s="4">
        <v>3</v>
      </c>
      <c r="N335" s="16">
        <v>300</v>
      </c>
      <c r="O335" s="17">
        <f>M335*N335</f>
        <v>900</v>
      </c>
      <c r="P335" s="13">
        <f>$O335*$U$4</f>
        <v>13.5</v>
      </c>
      <c r="Q335" s="13">
        <f>$O335*$U$5</f>
        <v>18</v>
      </c>
      <c r="R335" s="13" cm="1">
        <f t="array" ref="R335">_xlfn.IFS(B335=2023,O335*$U$4,B335=2024,O335*$U$5)</f>
        <v>13.5</v>
      </c>
    </row>
    <row r="336" spans="1:18">
      <c r="A336" s="2">
        <v>335</v>
      </c>
      <c r="B336" s="4">
        <f t="shared" si="26"/>
        <v>2023</v>
      </c>
      <c r="C336" s="4">
        <f t="shared" si="27"/>
        <v>2</v>
      </c>
      <c r="D336" s="4">
        <f t="shared" si="28"/>
        <v>4</v>
      </c>
      <c r="E336" s="4" t="str">
        <f t="shared" si="29"/>
        <v>Saturday</v>
      </c>
      <c r="F336" s="4" t="str">
        <f t="shared" si="30"/>
        <v>February</v>
      </c>
      <c r="G336" s="3">
        <v>44961</v>
      </c>
      <c r="H336" s="4" t="s">
        <v>367</v>
      </c>
      <c r="I336" s="4" t="s">
        <v>22</v>
      </c>
      <c r="J336" s="4" t="str" cm="1">
        <f t="array" ref="J336">_xlfn.IFS(K336&lt;30,"Young Adult",K336&lt;50,"Adult",K336&gt;=50,"Senior")</f>
        <v>Adult</v>
      </c>
      <c r="K336" s="4">
        <v>47</v>
      </c>
      <c r="L336" s="4" t="s">
        <v>20</v>
      </c>
      <c r="M336" s="4">
        <v>4</v>
      </c>
      <c r="N336" s="16">
        <v>30</v>
      </c>
      <c r="O336" s="17">
        <f>M336*N336</f>
        <v>120</v>
      </c>
      <c r="P336" s="13">
        <f>$O336*$U$4</f>
        <v>1.7999999999999998</v>
      </c>
      <c r="Q336" s="13">
        <f>$O336*$U$5</f>
        <v>2.4</v>
      </c>
      <c r="R336" s="13" cm="1">
        <f t="array" ref="R336">_xlfn.IFS(B336=2023,O336*$U$4,B336=2024,O336*$U$5)</f>
        <v>1.7999999999999998</v>
      </c>
    </row>
    <row r="337" spans="1:18">
      <c r="A337" s="2">
        <v>336</v>
      </c>
      <c r="B337" s="4">
        <f t="shared" si="26"/>
        <v>2023</v>
      </c>
      <c r="C337" s="4">
        <f t="shared" si="27"/>
        <v>12</v>
      </c>
      <c r="D337" s="4">
        <f t="shared" si="28"/>
        <v>12</v>
      </c>
      <c r="E337" s="4" t="str">
        <f t="shared" si="29"/>
        <v>Tuesday</v>
      </c>
      <c r="F337" s="4" t="str">
        <f t="shared" si="30"/>
        <v>December</v>
      </c>
      <c r="G337" s="3">
        <v>45272</v>
      </c>
      <c r="H337" s="4" t="s">
        <v>368</v>
      </c>
      <c r="I337" s="4" t="s">
        <v>22</v>
      </c>
      <c r="J337" s="4" t="str" cm="1">
        <f t="array" ref="J337">_xlfn.IFS(K337&lt;30,"Young Adult",K337&lt;50,"Adult",K337&gt;=50,"Senior")</f>
        <v>Senior</v>
      </c>
      <c r="K337" s="4">
        <v>52</v>
      </c>
      <c r="L337" s="4" t="s">
        <v>20</v>
      </c>
      <c r="M337" s="4">
        <v>3</v>
      </c>
      <c r="N337" s="16">
        <v>50</v>
      </c>
      <c r="O337" s="17">
        <f>M337*N337</f>
        <v>150</v>
      </c>
      <c r="P337" s="13">
        <f>$O337*$U$4</f>
        <v>2.25</v>
      </c>
      <c r="Q337" s="13">
        <f>$O337*$U$5</f>
        <v>3</v>
      </c>
      <c r="R337" s="13" cm="1">
        <f t="array" ref="R337">_xlfn.IFS(B337=2023,O337*$U$4,B337=2024,O337*$U$5)</f>
        <v>2.25</v>
      </c>
    </row>
    <row r="338" spans="1:18">
      <c r="A338" s="2">
        <v>337</v>
      </c>
      <c r="B338" s="4">
        <f t="shared" si="26"/>
        <v>2023</v>
      </c>
      <c r="C338" s="4">
        <f t="shared" si="27"/>
        <v>5</v>
      </c>
      <c r="D338" s="4">
        <f t="shared" si="28"/>
        <v>1</v>
      </c>
      <c r="E338" s="4" t="str">
        <f t="shared" si="29"/>
        <v>Monday</v>
      </c>
      <c r="F338" s="4" t="str">
        <f t="shared" si="30"/>
        <v>May</v>
      </c>
      <c r="G338" s="3">
        <v>45047</v>
      </c>
      <c r="H338" s="4" t="s">
        <v>369</v>
      </c>
      <c r="I338" s="4" t="s">
        <v>19</v>
      </c>
      <c r="J338" s="4" t="str" cm="1">
        <f t="array" ref="J338">_xlfn.IFS(K338&lt;30,"Young Adult",K338&lt;50,"Adult",K338&gt;=50,"Senior")</f>
        <v>Adult</v>
      </c>
      <c r="K338" s="4">
        <v>38</v>
      </c>
      <c r="L338" s="4" t="s">
        <v>23</v>
      </c>
      <c r="M338" s="4">
        <v>1</v>
      </c>
      <c r="N338" s="16">
        <v>500</v>
      </c>
      <c r="O338" s="17">
        <f>M338*N338</f>
        <v>500</v>
      </c>
      <c r="P338" s="13">
        <f>$O338*$U$4</f>
        <v>7.5</v>
      </c>
      <c r="Q338" s="13">
        <f>$O338*$U$5</f>
        <v>10</v>
      </c>
      <c r="R338" s="13" cm="1">
        <f t="array" ref="R338">_xlfn.IFS(B338=2023,O338*$U$4,B338=2024,O338*$U$5)</f>
        <v>7.5</v>
      </c>
    </row>
    <row r="339" spans="1:18">
      <c r="A339" s="2">
        <v>338</v>
      </c>
      <c r="B339" s="4">
        <f t="shared" si="26"/>
        <v>2023</v>
      </c>
      <c r="C339" s="4">
        <f t="shared" si="27"/>
        <v>7</v>
      </c>
      <c r="D339" s="4">
        <f t="shared" si="28"/>
        <v>26</v>
      </c>
      <c r="E339" s="4" t="str">
        <f t="shared" si="29"/>
        <v>Wednesday</v>
      </c>
      <c r="F339" s="4" t="str">
        <f t="shared" si="30"/>
        <v>July</v>
      </c>
      <c r="G339" s="3">
        <v>45133</v>
      </c>
      <c r="H339" s="4" t="s">
        <v>370</v>
      </c>
      <c r="I339" s="4" t="s">
        <v>19</v>
      </c>
      <c r="J339" s="4" t="str" cm="1">
        <f t="array" ref="J339">_xlfn.IFS(K339&lt;30,"Young Adult",K339&lt;50,"Adult",K339&gt;=50,"Senior")</f>
        <v>Senior</v>
      </c>
      <c r="K339" s="4">
        <v>54</v>
      </c>
      <c r="L339" s="4" t="s">
        <v>20</v>
      </c>
      <c r="M339" s="4">
        <v>2</v>
      </c>
      <c r="N339" s="16">
        <v>50</v>
      </c>
      <c r="O339" s="17">
        <f>M339*N339</f>
        <v>100</v>
      </c>
      <c r="P339" s="13">
        <f>$O339*$U$4</f>
        <v>1.5</v>
      </c>
      <c r="Q339" s="13">
        <f>$O339*$U$5</f>
        <v>2</v>
      </c>
      <c r="R339" s="13" cm="1">
        <f t="array" ref="R339">_xlfn.IFS(B339=2023,O339*$U$4,B339=2024,O339*$U$5)</f>
        <v>1.5</v>
      </c>
    </row>
    <row r="340" spans="1:18">
      <c r="A340" s="2">
        <v>339</v>
      </c>
      <c r="B340" s="4">
        <f t="shared" si="26"/>
        <v>2023</v>
      </c>
      <c r="C340" s="4">
        <f t="shared" si="27"/>
        <v>3</v>
      </c>
      <c r="D340" s="4">
        <f t="shared" si="28"/>
        <v>3</v>
      </c>
      <c r="E340" s="4" t="str">
        <f t="shared" si="29"/>
        <v>Friday</v>
      </c>
      <c r="F340" s="4" t="str">
        <f t="shared" si="30"/>
        <v>March</v>
      </c>
      <c r="G340" s="3">
        <v>44988</v>
      </c>
      <c r="H340" s="4" t="s">
        <v>371</v>
      </c>
      <c r="I340" s="4" t="s">
        <v>22</v>
      </c>
      <c r="J340" s="4" t="str" cm="1">
        <f t="array" ref="J340">_xlfn.IFS(K340&lt;30,"Young Adult",K340&lt;50,"Adult",K340&gt;=50,"Senior")</f>
        <v>Young Adult</v>
      </c>
      <c r="K340" s="4">
        <v>22</v>
      </c>
      <c r="L340" s="4" t="s">
        <v>26</v>
      </c>
      <c r="M340" s="4">
        <v>2</v>
      </c>
      <c r="N340" s="16">
        <v>25</v>
      </c>
      <c r="O340" s="17">
        <f>M340*N340</f>
        <v>50</v>
      </c>
      <c r="P340" s="13">
        <f>$O340*$U$4</f>
        <v>0.75</v>
      </c>
      <c r="Q340" s="13">
        <f>$O340*$U$5</f>
        <v>1</v>
      </c>
      <c r="R340" s="13" cm="1">
        <f t="array" ref="R340">_xlfn.IFS(B340=2023,O340*$U$4,B340=2024,O340*$U$5)</f>
        <v>0.75</v>
      </c>
    </row>
    <row r="341" spans="1:18">
      <c r="A341" s="2">
        <v>340</v>
      </c>
      <c r="B341" s="4">
        <f t="shared" si="26"/>
        <v>2023</v>
      </c>
      <c r="C341" s="4">
        <f t="shared" si="27"/>
        <v>10</v>
      </c>
      <c r="D341" s="4">
        <f t="shared" si="28"/>
        <v>19</v>
      </c>
      <c r="E341" s="4" t="str">
        <f t="shared" si="29"/>
        <v>Thursday</v>
      </c>
      <c r="F341" s="4" t="str">
        <f t="shared" si="30"/>
        <v>October</v>
      </c>
      <c r="G341" s="3">
        <v>45218</v>
      </c>
      <c r="H341" s="4" t="s">
        <v>372</v>
      </c>
      <c r="I341" s="4" t="s">
        <v>22</v>
      </c>
      <c r="J341" s="4" t="str" cm="1">
        <f t="array" ref="J341">_xlfn.IFS(K341&lt;30,"Young Adult",K341&lt;50,"Adult",K341&gt;=50,"Senior")</f>
        <v>Adult</v>
      </c>
      <c r="K341" s="4">
        <v>36</v>
      </c>
      <c r="L341" s="4" t="s">
        <v>23</v>
      </c>
      <c r="M341" s="4">
        <v>4</v>
      </c>
      <c r="N341" s="16">
        <v>300</v>
      </c>
      <c r="O341" s="17">
        <f>M341*N341</f>
        <v>1200</v>
      </c>
      <c r="P341" s="13">
        <f>$O341*$U$4</f>
        <v>18</v>
      </c>
      <c r="Q341" s="13">
        <f>$O341*$U$5</f>
        <v>24</v>
      </c>
      <c r="R341" s="13" cm="1">
        <f t="array" ref="R341">_xlfn.IFS(B341=2023,O341*$U$4,B341=2024,O341*$U$5)</f>
        <v>18</v>
      </c>
    </row>
    <row r="342" spans="1:18">
      <c r="A342" s="2">
        <v>341</v>
      </c>
      <c r="B342" s="4">
        <f t="shared" si="26"/>
        <v>2023</v>
      </c>
      <c r="C342" s="4">
        <f t="shared" si="27"/>
        <v>5</v>
      </c>
      <c r="D342" s="4">
        <f t="shared" si="28"/>
        <v>7</v>
      </c>
      <c r="E342" s="4" t="str">
        <f t="shared" si="29"/>
        <v>Sunday</v>
      </c>
      <c r="F342" s="4" t="str">
        <f t="shared" si="30"/>
        <v>May</v>
      </c>
      <c r="G342" s="3">
        <v>45053</v>
      </c>
      <c r="H342" s="4" t="s">
        <v>373</v>
      </c>
      <c r="I342" s="4" t="s">
        <v>19</v>
      </c>
      <c r="J342" s="4" t="str" cm="1">
        <f t="array" ref="J342">_xlfn.IFS(K342&lt;30,"Young Adult",K342&lt;50,"Adult",K342&gt;=50,"Senior")</f>
        <v>Adult</v>
      </c>
      <c r="K342" s="4">
        <v>31</v>
      </c>
      <c r="L342" s="4" t="s">
        <v>23</v>
      </c>
      <c r="M342" s="4">
        <v>4</v>
      </c>
      <c r="N342" s="16">
        <v>50</v>
      </c>
      <c r="O342" s="17">
        <f>M342*N342</f>
        <v>200</v>
      </c>
      <c r="P342" s="13">
        <f>$O342*$U$4</f>
        <v>3</v>
      </c>
      <c r="Q342" s="13">
        <f>$O342*$U$5</f>
        <v>4</v>
      </c>
      <c r="R342" s="13" cm="1">
        <f t="array" ref="R342">_xlfn.IFS(B342=2023,O342*$U$4,B342=2024,O342*$U$5)</f>
        <v>3</v>
      </c>
    </row>
    <row r="343" spans="1:18">
      <c r="A343" s="2">
        <v>342</v>
      </c>
      <c r="B343" s="4">
        <f t="shared" si="26"/>
        <v>2023</v>
      </c>
      <c r="C343" s="4">
        <f t="shared" si="27"/>
        <v>10</v>
      </c>
      <c r="D343" s="4">
        <f t="shared" si="28"/>
        <v>24</v>
      </c>
      <c r="E343" s="4" t="str">
        <f t="shared" si="29"/>
        <v>Tuesday</v>
      </c>
      <c r="F343" s="4" t="str">
        <f t="shared" si="30"/>
        <v>October</v>
      </c>
      <c r="G343" s="3">
        <v>45223</v>
      </c>
      <c r="H343" s="4" t="s">
        <v>374</v>
      </c>
      <c r="I343" s="4" t="s">
        <v>22</v>
      </c>
      <c r="J343" s="4" t="str" cm="1">
        <f t="array" ref="J343">_xlfn.IFS(K343&lt;30,"Young Adult",K343&lt;50,"Adult",K343&gt;=50,"Senior")</f>
        <v>Adult</v>
      </c>
      <c r="K343" s="4">
        <v>43</v>
      </c>
      <c r="L343" s="4" t="s">
        <v>23</v>
      </c>
      <c r="M343" s="4">
        <v>4</v>
      </c>
      <c r="N343" s="16">
        <v>500</v>
      </c>
      <c r="O343" s="17">
        <f>M343*N343</f>
        <v>2000</v>
      </c>
      <c r="P343" s="13">
        <f>$O343*$U$4</f>
        <v>30</v>
      </c>
      <c r="Q343" s="13">
        <f>$O343*$U$5</f>
        <v>40</v>
      </c>
      <c r="R343" s="13" cm="1">
        <f t="array" ref="R343">_xlfn.IFS(B343=2023,O343*$U$4,B343=2024,O343*$U$5)</f>
        <v>30</v>
      </c>
    </row>
    <row r="344" spans="1:18">
      <c r="A344" s="2">
        <v>343</v>
      </c>
      <c r="B344" s="4">
        <f t="shared" si="26"/>
        <v>2023</v>
      </c>
      <c r="C344" s="4">
        <f t="shared" si="27"/>
        <v>11</v>
      </c>
      <c r="D344" s="4">
        <f t="shared" si="28"/>
        <v>1</v>
      </c>
      <c r="E344" s="4" t="str">
        <f t="shared" si="29"/>
        <v>Wednesday</v>
      </c>
      <c r="F344" s="4" t="str">
        <f t="shared" si="30"/>
        <v>November</v>
      </c>
      <c r="G344" s="3">
        <v>45231</v>
      </c>
      <c r="H344" s="4" t="s">
        <v>375</v>
      </c>
      <c r="I344" s="4" t="s">
        <v>19</v>
      </c>
      <c r="J344" s="4" t="str" cm="1">
        <f t="array" ref="J344">_xlfn.IFS(K344&lt;30,"Young Adult",K344&lt;50,"Adult",K344&gt;=50,"Senior")</f>
        <v>Young Adult</v>
      </c>
      <c r="K344" s="4">
        <v>21</v>
      </c>
      <c r="L344" s="4" t="s">
        <v>26</v>
      </c>
      <c r="M344" s="4">
        <v>2</v>
      </c>
      <c r="N344" s="16">
        <v>25</v>
      </c>
      <c r="O344" s="17">
        <f>M344*N344</f>
        <v>50</v>
      </c>
      <c r="P344" s="13">
        <f>$O344*$U$4</f>
        <v>0.75</v>
      </c>
      <c r="Q344" s="13">
        <f>$O344*$U$5</f>
        <v>1</v>
      </c>
      <c r="R344" s="13" cm="1">
        <f t="array" ref="R344">_xlfn.IFS(B344=2023,O344*$U$4,B344=2024,O344*$U$5)</f>
        <v>0.75</v>
      </c>
    </row>
    <row r="345" spans="1:18">
      <c r="A345" s="2">
        <v>344</v>
      </c>
      <c r="B345" s="4">
        <f t="shared" si="26"/>
        <v>2023</v>
      </c>
      <c r="C345" s="4">
        <f t="shared" si="27"/>
        <v>1</v>
      </c>
      <c r="D345" s="4">
        <f t="shared" si="28"/>
        <v>21</v>
      </c>
      <c r="E345" s="4" t="str">
        <f t="shared" si="29"/>
        <v>Saturday</v>
      </c>
      <c r="F345" s="4" t="str">
        <f t="shared" si="30"/>
        <v>January</v>
      </c>
      <c r="G345" s="3">
        <v>44947</v>
      </c>
      <c r="H345" s="4" t="s">
        <v>376</v>
      </c>
      <c r="I345" s="4" t="s">
        <v>22</v>
      </c>
      <c r="J345" s="4" t="str" cm="1">
        <f t="array" ref="J345">_xlfn.IFS(K345&lt;30,"Young Adult",K345&lt;50,"Adult",K345&gt;=50,"Senior")</f>
        <v>Adult</v>
      </c>
      <c r="K345" s="4">
        <v>42</v>
      </c>
      <c r="L345" s="4" t="s">
        <v>20</v>
      </c>
      <c r="M345" s="4">
        <v>1</v>
      </c>
      <c r="N345" s="16">
        <v>30</v>
      </c>
      <c r="O345" s="17">
        <f>M345*N345</f>
        <v>30</v>
      </c>
      <c r="P345" s="13">
        <f>$O345*$U$4</f>
        <v>0.44999999999999996</v>
      </c>
      <c r="Q345" s="13">
        <f>$O345*$U$5</f>
        <v>0.6</v>
      </c>
      <c r="R345" s="13" cm="1">
        <f t="array" ref="R345">_xlfn.IFS(B345=2023,O345*$U$4,B345=2024,O345*$U$5)</f>
        <v>0.44999999999999996</v>
      </c>
    </row>
    <row r="346" spans="1:18">
      <c r="A346" s="2">
        <v>345</v>
      </c>
      <c r="B346" s="4">
        <f t="shared" si="26"/>
        <v>2023</v>
      </c>
      <c r="C346" s="4">
        <f t="shared" si="27"/>
        <v>11</v>
      </c>
      <c r="D346" s="4">
        <f t="shared" si="28"/>
        <v>14</v>
      </c>
      <c r="E346" s="4" t="str">
        <f t="shared" si="29"/>
        <v>Tuesday</v>
      </c>
      <c r="F346" s="4" t="str">
        <f t="shared" si="30"/>
        <v>November</v>
      </c>
      <c r="G346" s="3">
        <v>45244</v>
      </c>
      <c r="H346" s="4" t="s">
        <v>377</v>
      </c>
      <c r="I346" s="4" t="s">
        <v>19</v>
      </c>
      <c r="J346" s="4" t="str" cm="1">
        <f t="array" ref="J346">_xlfn.IFS(K346&lt;30,"Young Adult",K346&lt;50,"Adult",K346&gt;=50,"Senior")</f>
        <v>Senior</v>
      </c>
      <c r="K346" s="4">
        <v>62</v>
      </c>
      <c r="L346" s="4" t="s">
        <v>26</v>
      </c>
      <c r="M346" s="4">
        <v>1</v>
      </c>
      <c r="N346" s="16">
        <v>30</v>
      </c>
      <c r="O346" s="17">
        <f>M346*N346</f>
        <v>30</v>
      </c>
      <c r="P346" s="13">
        <f>$O346*$U$4</f>
        <v>0.44999999999999996</v>
      </c>
      <c r="Q346" s="13">
        <f>$O346*$U$5</f>
        <v>0.6</v>
      </c>
      <c r="R346" s="13" cm="1">
        <f t="array" ref="R346">_xlfn.IFS(B346=2023,O346*$U$4,B346=2024,O346*$U$5)</f>
        <v>0.44999999999999996</v>
      </c>
    </row>
    <row r="347" spans="1:18">
      <c r="A347" s="2">
        <v>346</v>
      </c>
      <c r="B347" s="4">
        <f t="shared" si="26"/>
        <v>2023</v>
      </c>
      <c r="C347" s="4">
        <f t="shared" si="27"/>
        <v>2</v>
      </c>
      <c r="D347" s="4">
        <f t="shared" si="28"/>
        <v>11</v>
      </c>
      <c r="E347" s="4" t="str">
        <f t="shared" si="29"/>
        <v>Saturday</v>
      </c>
      <c r="F347" s="4" t="str">
        <f t="shared" si="30"/>
        <v>February</v>
      </c>
      <c r="G347" s="3">
        <v>44968</v>
      </c>
      <c r="H347" s="4" t="s">
        <v>378</v>
      </c>
      <c r="I347" s="4" t="s">
        <v>19</v>
      </c>
      <c r="J347" s="4" t="str" cm="1">
        <f t="array" ref="J347">_xlfn.IFS(K347&lt;30,"Young Adult",K347&lt;50,"Adult",K347&gt;=50,"Senior")</f>
        <v>Senior</v>
      </c>
      <c r="K347" s="4">
        <v>59</v>
      </c>
      <c r="L347" s="4" t="s">
        <v>23</v>
      </c>
      <c r="M347" s="4">
        <v>2</v>
      </c>
      <c r="N347" s="16">
        <v>500</v>
      </c>
      <c r="O347" s="17">
        <f>M347*N347</f>
        <v>1000</v>
      </c>
      <c r="P347" s="13">
        <f>$O347*$U$4</f>
        <v>15</v>
      </c>
      <c r="Q347" s="13">
        <f>$O347*$U$5</f>
        <v>20</v>
      </c>
      <c r="R347" s="13" cm="1">
        <f t="array" ref="R347">_xlfn.IFS(B347=2023,O347*$U$4,B347=2024,O347*$U$5)</f>
        <v>15</v>
      </c>
    </row>
    <row r="348" spans="1:18">
      <c r="A348" s="2">
        <v>347</v>
      </c>
      <c r="B348" s="4">
        <f t="shared" si="26"/>
        <v>2023</v>
      </c>
      <c r="C348" s="4">
        <f t="shared" si="27"/>
        <v>8</v>
      </c>
      <c r="D348" s="4">
        <f t="shared" si="28"/>
        <v>3</v>
      </c>
      <c r="E348" s="4" t="str">
        <f t="shared" si="29"/>
        <v>Thursday</v>
      </c>
      <c r="F348" s="4" t="str">
        <f t="shared" si="30"/>
        <v>August</v>
      </c>
      <c r="G348" s="3">
        <v>45141</v>
      </c>
      <c r="H348" s="4" t="s">
        <v>379</v>
      </c>
      <c r="I348" s="4" t="s">
        <v>19</v>
      </c>
      <c r="J348" s="4" t="str" cm="1">
        <f t="array" ref="J348">_xlfn.IFS(K348&lt;30,"Young Adult",K348&lt;50,"Adult",K348&gt;=50,"Senior")</f>
        <v>Adult</v>
      </c>
      <c r="K348" s="4">
        <v>42</v>
      </c>
      <c r="L348" s="4" t="s">
        <v>26</v>
      </c>
      <c r="M348" s="4">
        <v>1</v>
      </c>
      <c r="N348" s="16">
        <v>25</v>
      </c>
      <c r="O348" s="17">
        <f>M348*N348</f>
        <v>25</v>
      </c>
      <c r="P348" s="13">
        <f>$O348*$U$4</f>
        <v>0.375</v>
      </c>
      <c r="Q348" s="13">
        <f>$O348*$U$5</f>
        <v>0.5</v>
      </c>
      <c r="R348" s="13" cm="1">
        <f t="array" ref="R348">_xlfn.IFS(B348=2023,O348*$U$4,B348=2024,O348*$U$5)</f>
        <v>0.375</v>
      </c>
    </row>
    <row r="349" spans="1:18">
      <c r="A349" s="2">
        <v>348</v>
      </c>
      <c r="B349" s="4">
        <f t="shared" si="26"/>
        <v>2023</v>
      </c>
      <c r="C349" s="4">
        <f t="shared" si="27"/>
        <v>12</v>
      </c>
      <c r="D349" s="4">
        <f t="shared" si="28"/>
        <v>3</v>
      </c>
      <c r="E349" s="4" t="str">
        <f t="shared" si="29"/>
        <v>Sunday</v>
      </c>
      <c r="F349" s="4" t="str">
        <f t="shared" si="30"/>
        <v>December</v>
      </c>
      <c r="G349" s="3">
        <v>45263</v>
      </c>
      <c r="H349" s="4" t="s">
        <v>380</v>
      </c>
      <c r="I349" s="4" t="s">
        <v>22</v>
      </c>
      <c r="J349" s="4" t="str" cm="1">
        <f t="array" ref="J349">_xlfn.IFS(K349&lt;30,"Young Adult",K349&lt;50,"Adult",K349&gt;=50,"Senior")</f>
        <v>Adult</v>
      </c>
      <c r="K349" s="4">
        <v>35</v>
      </c>
      <c r="L349" s="4" t="s">
        <v>26</v>
      </c>
      <c r="M349" s="4">
        <v>2</v>
      </c>
      <c r="N349" s="16">
        <v>300</v>
      </c>
      <c r="O349" s="17">
        <f>M349*N349</f>
        <v>600</v>
      </c>
      <c r="P349" s="13">
        <f>$O349*$U$4</f>
        <v>9</v>
      </c>
      <c r="Q349" s="13">
        <f>$O349*$U$5</f>
        <v>12</v>
      </c>
      <c r="R349" s="13" cm="1">
        <f t="array" ref="R349">_xlfn.IFS(B349=2023,O349*$U$4,B349=2024,O349*$U$5)</f>
        <v>9</v>
      </c>
    </row>
    <row r="350" spans="1:18">
      <c r="A350" s="2">
        <v>349</v>
      </c>
      <c r="B350" s="4">
        <f t="shared" si="26"/>
        <v>2023</v>
      </c>
      <c r="C350" s="4">
        <f t="shared" si="27"/>
        <v>10</v>
      </c>
      <c r="D350" s="4">
        <f t="shared" si="28"/>
        <v>26</v>
      </c>
      <c r="E350" s="4" t="str">
        <f t="shared" si="29"/>
        <v>Thursday</v>
      </c>
      <c r="F350" s="4" t="str">
        <f t="shared" si="30"/>
        <v>October</v>
      </c>
      <c r="G350" s="3">
        <v>45225</v>
      </c>
      <c r="H350" s="4" t="s">
        <v>381</v>
      </c>
      <c r="I350" s="4" t="s">
        <v>22</v>
      </c>
      <c r="J350" s="4" t="str" cm="1">
        <f t="array" ref="J350">_xlfn.IFS(K350&lt;30,"Young Adult",K350&lt;50,"Adult",K350&gt;=50,"Senior")</f>
        <v>Senior</v>
      </c>
      <c r="K350" s="4">
        <v>57</v>
      </c>
      <c r="L350" s="4" t="s">
        <v>20</v>
      </c>
      <c r="M350" s="4">
        <v>1</v>
      </c>
      <c r="N350" s="16">
        <v>50</v>
      </c>
      <c r="O350" s="17">
        <f>M350*N350</f>
        <v>50</v>
      </c>
      <c r="P350" s="13">
        <f>$O350*$U$4</f>
        <v>0.75</v>
      </c>
      <c r="Q350" s="13">
        <f>$O350*$U$5</f>
        <v>1</v>
      </c>
      <c r="R350" s="13" cm="1">
        <f t="array" ref="R350">_xlfn.IFS(B350=2023,O350*$U$4,B350=2024,O350*$U$5)</f>
        <v>0.75</v>
      </c>
    </row>
    <row r="351" spans="1:18">
      <c r="A351" s="2">
        <v>350</v>
      </c>
      <c r="B351" s="4">
        <f t="shared" si="26"/>
        <v>2023</v>
      </c>
      <c r="C351" s="4">
        <f t="shared" si="27"/>
        <v>10</v>
      </c>
      <c r="D351" s="4">
        <f t="shared" si="28"/>
        <v>17</v>
      </c>
      <c r="E351" s="4" t="str">
        <f t="shared" si="29"/>
        <v>Tuesday</v>
      </c>
      <c r="F351" s="4" t="str">
        <f t="shared" si="30"/>
        <v>October</v>
      </c>
      <c r="G351" s="3">
        <v>45216</v>
      </c>
      <c r="H351" s="4" t="s">
        <v>382</v>
      </c>
      <c r="I351" s="4" t="s">
        <v>19</v>
      </c>
      <c r="J351" s="4" t="str" cm="1">
        <f t="array" ref="J351">_xlfn.IFS(K351&lt;30,"Young Adult",K351&lt;50,"Adult",K351&gt;=50,"Senior")</f>
        <v>Young Adult</v>
      </c>
      <c r="K351" s="4">
        <v>25</v>
      </c>
      <c r="L351" s="4" t="s">
        <v>20</v>
      </c>
      <c r="M351" s="4">
        <v>3</v>
      </c>
      <c r="N351" s="16">
        <v>25</v>
      </c>
      <c r="O351" s="17">
        <f>M351*N351</f>
        <v>75</v>
      </c>
      <c r="P351" s="13">
        <f>$O351*$U$4</f>
        <v>1.125</v>
      </c>
      <c r="Q351" s="13">
        <f>$O351*$U$5</f>
        <v>1.5</v>
      </c>
      <c r="R351" s="13" cm="1">
        <f t="array" ref="R351">_xlfn.IFS(B351=2023,O351*$U$4,B351=2024,O351*$U$5)</f>
        <v>1.125</v>
      </c>
    </row>
    <row r="352" spans="1:18">
      <c r="A352" s="2">
        <v>351</v>
      </c>
      <c r="B352" s="4">
        <f t="shared" si="26"/>
        <v>2023</v>
      </c>
      <c r="C352" s="4">
        <f t="shared" si="27"/>
        <v>9</v>
      </c>
      <c r="D352" s="4">
        <f t="shared" si="28"/>
        <v>25</v>
      </c>
      <c r="E352" s="4" t="str">
        <f t="shared" si="29"/>
        <v>Monday</v>
      </c>
      <c r="F352" s="4" t="str">
        <f t="shared" si="30"/>
        <v>September</v>
      </c>
      <c r="G352" s="3">
        <v>45194</v>
      </c>
      <c r="H352" s="4" t="s">
        <v>383</v>
      </c>
      <c r="I352" s="4" t="s">
        <v>22</v>
      </c>
      <c r="J352" s="4" t="str" cm="1">
        <f t="array" ref="J352">_xlfn.IFS(K352&lt;30,"Young Adult",K352&lt;50,"Adult",K352&gt;=50,"Senior")</f>
        <v>Senior</v>
      </c>
      <c r="K352" s="4">
        <v>56</v>
      </c>
      <c r="L352" s="4" t="s">
        <v>23</v>
      </c>
      <c r="M352" s="4">
        <v>3</v>
      </c>
      <c r="N352" s="16">
        <v>30</v>
      </c>
      <c r="O352" s="17">
        <f>M352*N352</f>
        <v>90</v>
      </c>
      <c r="P352" s="13">
        <f>$O352*$U$4</f>
        <v>1.3499999999999999</v>
      </c>
      <c r="Q352" s="13">
        <f>$O352*$U$5</f>
        <v>1.8</v>
      </c>
      <c r="R352" s="13" cm="1">
        <f t="array" ref="R352">_xlfn.IFS(B352=2023,O352*$U$4,B352=2024,O352*$U$5)</f>
        <v>1.3499999999999999</v>
      </c>
    </row>
    <row r="353" spans="1:18">
      <c r="A353" s="2">
        <v>352</v>
      </c>
      <c r="B353" s="4">
        <f t="shared" si="26"/>
        <v>2023</v>
      </c>
      <c r="C353" s="4">
        <f t="shared" si="27"/>
        <v>6</v>
      </c>
      <c r="D353" s="4">
        <f t="shared" si="28"/>
        <v>11</v>
      </c>
      <c r="E353" s="4" t="str">
        <f t="shared" si="29"/>
        <v>Sunday</v>
      </c>
      <c r="F353" s="4" t="str">
        <f t="shared" si="30"/>
        <v>June</v>
      </c>
      <c r="G353" s="3">
        <v>45088</v>
      </c>
      <c r="H353" s="4" t="s">
        <v>384</v>
      </c>
      <c r="I353" s="4" t="s">
        <v>19</v>
      </c>
      <c r="J353" s="4" t="str" cm="1">
        <f t="array" ref="J353">_xlfn.IFS(K353&lt;30,"Young Adult",K353&lt;50,"Adult",K353&gt;=50,"Senior")</f>
        <v>Senior</v>
      </c>
      <c r="K353" s="4">
        <v>57</v>
      </c>
      <c r="L353" s="4" t="s">
        <v>26</v>
      </c>
      <c r="M353" s="4">
        <v>2</v>
      </c>
      <c r="N353" s="16">
        <v>500</v>
      </c>
      <c r="O353" s="17">
        <f>M353*N353</f>
        <v>1000</v>
      </c>
      <c r="P353" s="13">
        <f>$O353*$U$4</f>
        <v>15</v>
      </c>
      <c r="Q353" s="13">
        <f>$O353*$U$5</f>
        <v>20</v>
      </c>
      <c r="R353" s="13" cm="1">
        <f t="array" ref="R353">_xlfn.IFS(B353=2023,O353*$U$4,B353=2024,O353*$U$5)</f>
        <v>15</v>
      </c>
    </row>
    <row r="354" spans="1:18">
      <c r="A354" s="2">
        <v>353</v>
      </c>
      <c r="B354" s="4">
        <f t="shared" si="26"/>
        <v>2023</v>
      </c>
      <c r="C354" s="4">
        <f t="shared" si="27"/>
        <v>5</v>
      </c>
      <c r="D354" s="4">
        <f t="shared" si="28"/>
        <v>14</v>
      </c>
      <c r="E354" s="4" t="str">
        <f t="shared" si="29"/>
        <v>Sunday</v>
      </c>
      <c r="F354" s="4" t="str">
        <f t="shared" si="30"/>
        <v>May</v>
      </c>
      <c r="G354" s="3">
        <v>45060</v>
      </c>
      <c r="H354" s="4" t="s">
        <v>385</v>
      </c>
      <c r="I354" s="4" t="s">
        <v>19</v>
      </c>
      <c r="J354" s="4" t="str" cm="1">
        <f t="array" ref="J354">_xlfn.IFS(K354&lt;30,"Young Adult",K354&lt;50,"Adult",K354&gt;=50,"Senior")</f>
        <v>Adult</v>
      </c>
      <c r="K354" s="4">
        <v>31</v>
      </c>
      <c r="L354" s="4" t="s">
        <v>26</v>
      </c>
      <c r="M354" s="4">
        <v>1</v>
      </c>
      <c r="N354" s="16">
        <v>500</v>
      </c>
      <c r="O354" s="17">
        <f>M354*N354</f>
        <v>500</v>
      </c>
      <c r="P354" s="13">
        <f>$O354*$U$4</f>
        <v>7.5</v>
      </c>
      <c r="Q354" s="13">
        <f>$O354*$U$5</f>
        <v>10</v>
      </c>
      <c r="R354" s="13" cm="1">
        <f t="array" ref="R354">_xlfn.IFS(B354=2023,O354*$U$4,B354=2024,O354*$U$5)</f>
        <v>7.5</v>
      </c>
    </row>
    <row r="355" spans="1:18">
      <c r="A355" s="2">
        <v>354</v>
      </c>
      <c r="B355" s="4">
        <f t="shared" si="26"/>
        <v>2023</v>
      </c>
      <c r="C355" s="4">
        <f t="shared" si="27"/>
        <v>4</v>
      </c>
      <c r="D355" s="4">
        <f t="shared" si="28"/>
        <v>15</v>
      </c>
      <c r="E355" s="4" t="str">
        <f t="shared" si="29"/>
        <v>Saturday</v>
      </c>
      <c r="F355" s="4" t="str">
        <f t="shared" si="30"/>
        <v>April</v>
      </c>
      <c r="G355" s="3">
        <v>45031</v>
      </c>
      <c r="H355" s="4" t="s">
        <v>386</v>
      </c>
      <c r="I355" s="4" t="s">
        <v>22</v>
      </c>
      <c r="J355" s="4" t="str" cm="1">
        <f t="array" ref="J355">_xlfn.IFS(K355&lt;30,"Young Adult",K355&lt;50,"Adult",K355&gt;=50,"Senior")</f>
        <v>Adult</v>
      </c>
      <c r="K355" s="4">
        <v>49</v>
      </c>
      <c r="L355" s="4" t="s">
        <v>20</v>
      </c>
      <c r="M355" s="4">
        <v>4</v>
      </c>
      <c r="N355" s="16">
        <v>50</v>
      </c>
      <c r="O355" s="17">
        <f>M355*N355</f>
        <v>200</v>
      </c>
      <c r="P355" s="13">
        <f>$O355*$U$4</f>
        <v>3</v>
      </c>
      <c r="Q355" s="13">
        <f>$O355*$U$5</f>
        <v>4</v>
      </c>
      <c r="R355" s="13" cm="1">
        <f t="array" ref="R355">_xlfn.IFS(B355=2023,O355*$U$4,B355=2024,O355*$U$5)</f>
        <v>3</v>
      </c>
    </row>
    <row r="356" spans="1:18">
      <c r="A356" s="2">
        <v>355</v>
      </c>
      <c r="B356" s="4">
        <f t="shared" si="26"/>
        <v>2023</v>
      </c>
      <c r="C356" s="4">
        <f t="shared" si="27"/>
        <v>12</v>
      </c>
      <c r="D356" s="4">
        <f t="shared" si="28"/>
        <v>9</v>
      </c>
      <c r="E356" s="4" t="str">
        <f t="shared" si="29"/>
        <v>Saturday</v>
      </c>
      <c r="F356" s="4" t="str">
        <f t="shared" si="30"/>
        <v>December</v>
      </c>
      <c r="G356" s="3">
        <v>45269</v>
      </c>
      <c r="H356" s="4" t="s">
        <v>387</v>
      </c>
      <c r="I356" s="4" t="s">
        <v>22</v>
      </c>
      <c r="J356" s="4" t="str" cm="1">
        <f t="array" ref="J356">_xlfn.IFS(K356&lt;30,"Young Adult",K356&lt;50,"Adult",K356&gt;=50,"Senior")</f>
        <v>Senior</v>
      </c>
      <c r="K356" s="4">
        <v>55</v>
      </c>
      <c r="L356" s="4" t="s">
        <v>26</v>
      </c>
      <c r="M356" s="4">
        <v>1</v>
      </c>
      <c r="N356" s="16">
        <v>500</v>
      </c>
      <c r="O356" s="17">
        <f>M356*N356</f>
        <v>500</v>
      </c>
      <c r="P356" s="13">
        <f>$O356*$U$4</f>
        <v>7.5</v>
      </c>
      <c r="Q356" s="13">
        <f>$O356*$U$5</f>
        <v>10</v>
      </c>
      <c r="R356" s="13" cm="1">
        <f t="array" ref="R356">_xlfn.IFS(B356=2023,O356*$U$4,B356=2024,O356*$U$5)</f>
        <v>7.5</v>
      </c>
    </row>
    <row r="357" spans="1:18">
      <c r="A357" s="2">
        <v>356</v>
      </c>
      <c r="B357" s="4">
        <f t="shared" si="26"/>
        <v>2023</v>
      </c>
      <c r="C357" s="4">
        <f t="shared" si="27"/>
        <v>6</v>
      </c>
      <c r="D357" s="4">
        <f t="shared" si="28"/>
        <v>10</v>
      </c>
      <c r="E357" s="4" t="str">
        <f t="shared" si="29"/>
        <v>Saturday</v>
      </c>
      <c r="F357" s="4" t="str">
        <f t="shared" si="30"/>
        <v>June</v>
      </c>
      <c r="G357" s="3">
        <v>45087</v>
      </c>
      <c r="H357" s="4" t="s">
        <v>388</v>
      </c>
      <c r="I357" s="4" t="s">
        <v>19</v>
      </c>
      <c r="J357" s="4" t="str" cm="1">
        <f t="array" ref="J357">_xlfn.IFS(K357&lt;30,"Young Adult",K357&lt;50,"Adult",K357&gt;=50,"Senior")</f>
        <v>Senior</v>
      </c>
      <c r="K357" s="4">
        <v>50</v>
      </c>
      <c r="L357" s="4" t="s">
        <v>26</v>
      </c>
      <c r="M357" s="4">
        <v>3</v>
      </c>
      <c r="N357" s="16">
        <v>500</v>
      </c>
      <c r="O357" s="17">
        <f>M357*N357</f>
        <v>1500</v>
      </c>
      <c r="P357" s="13">
        <f>$O357*$U$4</f>
        <v>22.5</v>
      </c>
      <c r="Q357" s="13">
        <f>$O357*$U$5</f>
        <v>30</v>
      </c>
      <c r="R357" s="13" cm="1">
        <f t="array" ref="R357">_xlfn.IFS(B357=2023,O357*$U$4,B357=2024,O357*$U$5)</f>
        <v>22.5</v>
      </c>
    </row>
    <row r="358" spans="1:18">
      <c r="A358" s="2">
        <v>357</v>
      </c>
      <c r="B358" s="4">
        <f t="shared" si="26"/>
        <v>2023</v>
      </c>
      <c r="C358" s="4">
        <f t="shared" si="27"/>
        <v>5</v>
      </c>
      <c r="D358" s="4">
        <f t="shared" si="28"/>
        <v>3</v>
      </c>
      <c r="E358" s="4" t="str">
        <f t="shared" si="29"/>
        <v>Wednesday</v>
      </c>
      <c r="F358" s="4" t="str">
        <f t="shared" si="30"/>
        <v>May</v>
      </c>
      <c r="G358" s="3">
        <v>45049</v>
      </c>
      <c r="H358" s="4" t="s">
        <v>389</v>
      </c>
      <c r="I358" s="4" t="s">
        <v>22</v>
      </c>
      <c r="J358" s="4" t="str" cm="1">
        <f t="array" ref="J358">_xlfn.IFS(K358&lt;30,"Young Adult",K358&lt;50,"Adult",K358&gt;=50,"Senior")</f>
        <v>Adult</v>
      </c>
      <c r="K358" s="4">
        <v>40</v>
      </c>
      <c r="L358" s="4" t="s">
        <v>26</v>
      </c>
      <c r="M358" s="4">
        <v>3</v>
      </c>
      <c r="N358" s="16">
        <v>25</v>
      </c>
      <c r="O358" s="17">
        <f>M358*N358</f>
        <v>75</v>
      </c>
      <c r="P358" s="13">
        <f>$O358*$U$4</f>
        <v>1.125</v>
      </c>
      <c r="Q358" s="13">
        <f>$O358*$U$5</f>
        <v>1.5</v>
      </c>
      <c r="R358" s="13" cm="1">
        <f t="array" ref="R358">_xlfn.IFS(B358=2023,O358*$U$4,B358=2024,O358*$U$5)</f>
        <v>1.125</v>
      </c>
    </row>
    <row r="359" spans="1:18">
      <c r="A359" s="2">
        <v>358</v>
      </c>
      <c r="B359" s="4">
        <f t="shared" si="26"/>
        <v>2023</v>
      </c>
      <c r="C359" s="4">
        <f t="shared" si="27"/>
        <v>5</v>
      </c>
      <c r="D359" s="4">
        <f t="shared" si="28"/>
        <v>16</v>
      </c>
      <c r="E359" s="4" t="str">
        <f t="shared" si="29"/>
        <v>Tuesday</v>
      </c>
      <c r="F359" s="4" t="str">
        <f t="shared" si="30"/>
        <v>May</v>
      </c>
      <c r="G359" s="3">
        <v>45062</v>
      </c>
      <c r="H359" s="4" t="s">
        <v>390</v>
      </c>
      <c r="I359" s="4" t="s">
        <v>22</v>
      </c>
      <c r="J359" s="4" t="str" cm="1">
        <f t="array" ref="J359">_xlfn.IFS(K359&lt;30,"Young Adult",K359&lt;50,"Adult",K359&gt;=50,"Senior")</f>
        <v>Adult</v>
      </c>
      <c r="K359" s="4">
        <v>32</v>
      </c>
      <c r="L359" s="4" t="s">
        <v>20</v>
      </c>
      <c r="M359" s="4">
        <v>1</v>
      </c>
      <c r="N359" s="16">
        <v>300</v>
      </c>
      <c r="O359" s="17">
        <f>M359*N359</f>
        <v>300</v>
      </c>
      <c r="P359" s="13">
        <f>$O359*$U$4</f>
        <v>4.5</v>
      </c>
      <c r="Q359" s="13">
        <f>$O359*$U$5</f>
        <v>6</v>
      </c>
      <c r="R359" s="13" cm="1">
        <f t="array" ref="R359">_xlfn.IFS(B359=2023,O359*$U$4,B359=2024,O359*$U$5)</f>
        <v>4.5</v>
      </c>
    </row>
    <row r="360" spans="1:18">
      <c r="A360" s="2">
        <v>359</v>
      </c>
      <c r="B360" s="4">
        <f t="shared" si="26"/>
        <v>2023</v>
      </c>
      <c r="C360" s="4">
        <f t="shared" si="27"/>
        <v>7</v>
      </c>
      <c r="D360" s="4">
        <f t="shared" si="28"/>
        <v>22</v>
      </c>
      <c r="E360" s="4" t="str">
        <f t="shared" si="29"/>
        <v>Saturday</v>
      </c>
      <c r="F360" s="4" t="str">
        <f t="shared" si="30"/>
        <v>July</v>
      </c>
      <c r="G360" s="3">
        <v>45129</v>
      </c>
      <c r="H360" s="4" t="s">
        <v>391</v>
      </c>
      <c r="I360" s="4" t="s">
        <v>19</v>
      </c>
      <c r="J360" s="4" t="str" cm="1">
        <f t="array" ref="J360">_xlfn.IFS(K360&lt;30,"Young Adult",K360&lt;50,"Adult",K360&gt;=50,"Senior")</f>
        <v>Senior</v>
      </c>
      <c r="K360" s="4">
        <v>50</v>
      </c>
      <c r="L360" s="4" t="s">
        <v>23</v>
      </c>
      <c r="M360" s="4">
        <v>1</v>
      </c>
      <c r="N360" s="16">
        <v>50</v>
      </c>
      <c r="O360" s="17">
        <f>M360*N360</f>
        <v>50</v>
      </c>
      <c r="P360" s="13">
        <f>$O360*$U$4</f>
        <v>0.75</v>
      </c>
      <c r="Q360" s="13">
        <f>$O360*$U$5</f>
        <v>1</v>
      </c>
      <c r="R360" s="13" cm="1">
        <f t="array" ref="R360">_xlfn.IFS(B360=2023,O360*$U$4,B360=2024,O360*$U$5)</f>
        <v>0.75</v>
      </c>
    </row>
    <row r="361" spans="1:18">
      <c r="A361" s="2">
        <v>360</v>
      </c>
      <c r="B361" s="4">
        <f t="shared" si="26"/>
        <v>2023</v>
      </c>
      <c r="C361" s="4">
        <f t="shared" si="27"/>
        <v>3</v>
      </c>
      <c r="D361" s="4">
        <f t="shared" si="28"/>
        <v>9</v>
      </c>
      <c r="E361" s="4" t="str">
        <f t="shared" si="29"/>
        <v>Thursday</v>
      </c>
      <c r="F361" s="4" t="str">
        <f t="shared" si="30"/>
        <v>March</v>
      </c>
      <c r="G361" s="3">
        <v>44994</v>
      </c>
      <c r="H361" s="4" t="s">
        <v>392</v>
      </c>
      <c r="I361" s="4" t="s">
        <v>19</v>
      </c>
      <c r="J361" s="4" t="str" cm="1">
        <f t="array" ref="J361">_xlfn.IFS(K361&lt;30,"Young Adult",K361&lt;50,"Adult",K361&gt;=50,"Senior")</f>
        <v>Adult</v>
      </c>
      <c r="K361" s="4">
        <v>42</v>
      </c>
      <c r="L361" s="4" t="s">
        <v>23</v>
      </c>
      <c r="M361" s="4">
        <v>4</v>
      </c>
      <c r="N361" s="16">
        <v>25</v>
      </c>
      <c r="O361" s="17">
        <f>M361*N361</f>
        <v>100</v>
      </c>
      <c r="P361" s="13">
        <f>$O361*$U$4</f>
        <v>1.5</v>
      </c>
      <c r="Q361" s="13">
        <f>$O361*$U$5</f>
        <v>2</v>
      </c>
      <c r="R361" s="13" cm="1">
        <f t="array" ref="R361">_xlfn.IFS(B361=2023,O361*$U$4,B361=2024,O361*$U$5)</f>
        <v>1.5</v>
      </c>
    </row>
    <row r="362" spans="1:18">
      <c r="A362" s="2">
        <v>361</v>
      </c>
      <c r="B362" s="4">
        <f t="shared" si="26"/>
        <v>2023</v>
      </c>
      <c r="C362" s="4">
        <f t="shared" si="27"/>
        <v>12</v>
      </c>
      <c r="D362" s="4">
        <f t="shared" si="28"/>
        <v>10</v>
      </c>
      <c r="E362" s="4" t="str">
        <f t="shared" si="29"/>
        <v>Sunday</v>
      </c>
      <c r="F362" s="4" t="str">
        <f t="shared" si="30"/>
        <v>December</v>
      </c>
      <c r="G362" s="3">
        <v>45270</v>
      </c>
      <c r="H362" s="4" t="s">
        <v>393</v>
      </c>
      <c r="I362" s="4" t="s">
        <v>22</v>
      </c>
      <c r="J362" s="4" t="str" cm="1">
        <f t="array" ref="J362">_xlfn.IFS(K362&lt;30,"Young Adult",K362&lt;50,"Adult",K362&gt;=50,"Senior")</f>
        <v>Adult</v>
      </c>
      <c r="K362" s="4">
        <v>34</v>
      </c>
      <c r="L362" s="4" t="s">
        <v>26</v>
      </c>
      <c r="M362" s="4">
        <v>4</v>
      </c>
      <c r="N362" s="16">
        <v>300</v>
      </c>
      <c r="O362" s="17">
        <f>M362*N362</f>
        <v>1200</v>
      </c>
      <c r="P362" s="13">
        <f>$O362*$U$4</f>
        <v>18</v>
      </c>
      <c r="Q362" s="13">
        <f>$O362*$U$5</f>
        <v>24</v>
      </c>
      <c r="R362" s="13" cm="1">
        <f t="array" ref="R362">_xlfn.IFS(B362=2023,O362*$U$4,B362=2024,O362*$U$5)</f>
        <v>18</v>
      </c>
    </row>
    <row r="363" spans="1:18">
      <c r="A363" s="2">
        <v>362</v>
      </c>
      <c r="B363" s="4">
        <f t="shared" si="26"/>
        <v>2023</v>
      </c>
      <c r="C363" s="4">
        <f t="shared" si="27"/>
        <v>11</v>
      </c>
      <c r="D363" s="4">
        <f t="shared" si="28"/>
        <v>27</v>
      </c>
      <c r="E363" s="4" t="str">
        <f t="shared" si="29"/>
        <v>Monday</v>
      </c>
      <c r="F363" s="4" t="str">
        <f t="shared" si="30"/>
        <v>November</v>
      </c>
      <c r="G363" s="3">
        <v>45257</v>
      </c>
      <c r="H363" s="4" t="s">
        <v>394</v>
      </c>
      <c r="I363" s="4" t="s">
        <v>19</v>
      </c>
      <c r="J363" s="4" t="str" cm="1">
        <f t="array" ref="J363">_xlfn.IFS(K363&lt;30,"Young Adult",K363&lt;50,"Adult",K363&gt;=50,"Senior")</f>
        <v>Senior</v>
      </c>
      <c r="K363" s="4">
        <v>50</v>
      </c>
      <c r="L363" s="4" t="s">
        <v>23</v>
      </c>
      <c r="M363" s="4">
        <v>1</v>
      </c>
      <c r="N363" s="16">
        <v>25</v>
      </c>
      <c r="O363" s="17">
        <f>M363*N363</f>
        <v>25</v>
      </c>
      <c r="P363" s="13">
        <f>$O363*$U$4</f>
        <v>0.375</v>
      </c>
      <c r="Q363" s="13">
        <f>$O363*$U$5</f>
        <v>0.5</v>
      </c>
      <c r="R363" s="13" cm="1">
        <f t="array" ref="R363">_xlfn.IFS(B363=2023,O363*$U$4,B363=2024,O363*$U$5)</f>
        <v>0.375</v>
      </c>
    </row>
    <row r="364" spans="1:18">
      <c r="A364" s="2">
        <v>363</v>
      </c>
      <c r="B364" s="4">
        <f t="shared" si="26"/>
        <v>2023</v>
      </c>
      <c r="C364" s="4">
        <f t="shared" si="27"/>
        <v>6</v>
      </c>
      <c r="D364" s="4">
        <f t="shared" si="28"/>
        <v>3</v>
      </c>
      <c r="E364" s="4" t="str">
        <f t="shared" si="29"/>
        <v>Saturday</v>
      </c>
      <c r="F364" s="4" t="str">
        <f t="shared" si="30"/>
        <v>June</v>
      </c>
      <c r="G364" s="3">
        <v>45080</v>
      </c>
      <c r="H364" s="4" t="s">
        <v>395</v>
      </c>
      <c r="I364" s="4" t="s">
        <v>19</v>
      </c>
      <c r="J364" s="4" t="str" cm="1">
        <f t="array" ref="J364">_xlfn.IFS(K364&lt;30,"Young Adult",K364&lt;50,"Adult",K364&gt;=50,"Senior")</f>
        <v>Senior</v>
      </c>
      <c r="K364" s="4">
        <v>64</v>
      </c>
      <c r="L364" s="4" t="s">
        <v>20</v>
      </c>
      <c r="M364" s="4">
        <v>1</v>
      </c>
      <c r="N364" s="16">
        <v>25</v>
      </c>
      <c r="O364" s="17">
        <f>M364*N364</f>
        <v>25</v>
      </c>
      <c r="P364" s="13">
        <f>$O364*$U$4</f>
        <v>0.375</v>
      </c>
      <c r="Q364" s="13">
        <f>$O364*$U$5</f>
        <v>0.5</v>
      </c>
      <c r="R364" s="13" cm="1">
        <f t="array" ref="R364">_xlfn.IFS(B364=2023,O364*$U$4,B364=2024,O364*$U$5)</f>
        <v>0.375</v>
      </c>
    </row>
    <row r="365" spans="1:18">
      <c r="A365" s="2">
        <v>364</v>
      </c>
      <c r="B365" s="4">
        <f t="shared" si="26"/>
        <v>2023</v>
      </c>
      <c r="C365" s="4">
        <f t="shared" si="27"/>
        <v>8</v>
      </c>
      <c r="D365" s="4">
        <f t="shared" si="28"/>
        <v>23</v>
      </c>
      <c r="E365" s="4" t="str">
        <f t="shared" si="29"/>
        <v>Wednesday</v>
      </c>
      <c r="F365" s="4" t="str">
        <f t="shared" si="30"/>
        <v>August</v>
      </c>
      <c r="G365" s="3">
        <v>45161</v>
      </c>
      <c r="H365" s="4" t="s">
        <v>396</v>
      </c>
      <c r="I365" s="4" t="s">
        <v>22</v>
      </c>
      <c r="J365" s="4" t="str" cm="1">
        <f t="array" ref="J365">_xlfn.IFS(K365&lt;30,"Young Adult",K365&lt;50,"Adult",K365&gt;=50,"Senior")</f>
        <v>Young Adult</v>
      </c>
      <c r="K365" s="4">
        <v>19</v>
      </c>
      <c r="L365" s="4" t="s">
        <v>20</v>
      </c>
      <c r="M365" s="4">
        <v>1</v>
      </c>
      <c r="N365" s="16">
        <v>500</v>
      </c>
      <c r="O365" s="17">
        <f>M365*N365</f>
        <v>500</v>
      </c>
      <c r="P365" s="13">
        <f>$O365*$U$4</f>
        <v>7.5</v>
      </c>
      <c r="Q365" s="13">
        <f>$O365*$U$5</f>
        <v>10</v>
      </c>
      <c r="R365" s="13" cm="1">
        <f t="array" ref="R365">_xlfn.IFS(B365=2023,O365*$U$4,B365=2024,O365*$U$5)</f>
        <v>7.5</v>
      </c>
    </row>
    <row r="366" spans="1:18">
      <c r="A366" s="2">
        <v>365</v>
      </c>
      <c r="B366" s="4">
        <f t="shared" si="26"/>
        <v>2023</v>
      </c>
      <c r="C366" s="4">
        <f t="shared" si="27"/>
        <v>6</v>
      </c>
      <c r="D366" s="4">
        <f t="shared" si="28"/>
        <v>11</v>
      </c>
      <c r="E366" s="4" t="str">
        <f t="shared" si="29"/>
        <v>Sunday</v>
      </c>
      <c r="F366" s="4" t="str">
        <f t="shared" si="30"/>
        <v>June</v>
      </c>
      <c r="G366" s="3">
        <v>45088</v>
      </c>
      <c r="H366" s="4" t="s">
        <v>397</v>
      </c>
      <c r="I366" s="4" t="s">
        <v>19</v>
      </c>
      <c r="J366" s="4" t="str" cm="1">
        <f t="array" ref="J366">_xlfn.IFS(K366&lt;30,"Young Adult",K366&lt;50,"Adult",K366&gt;=50,"Senior")</f>
        <v>Adult</v>
      </c>
      <c r="K366" s="4">
        <v>31</v>
      </c>
      <c r="L366" s="4" t="s">
        <v>23</v>
      </c>
      <c r="M366" s="4">
        <v>1</v>
      </c>
      <c r="N366" s="16">
        <v>300</v>
      </c>
      <c r="O366" s="17">
        <f>M366*N366</f>
        <v>300</v>
      </c>
      <c r="P366" s="13">
        <f>$O366*$U$4</f>
        <v>4.5</v>
      </c>
      <c r="Q366" s="13">
        <f>$O366*$U$5</f>
        <v>6</v>
      </c>
      <c r="R366" s="13" cm="1">
        <f t="array" ref="R366">_xlfn.IFS(B366=2023,O366*$U$4,B366=2024,O366*$U$5)</f>
        <v>4.5</v>
      </c>
    </row>
    <row r="367" spans="1:18">
      <c r="A367" s="2">
        <v>366</v>
      </c>
      <c r="B367" s="4">
        <f t="shared" si="26"/>
        <v>2023</v>
      </c>
      <c r="C367" s="4">
        <f t="shared" si="27"/>
        <v>2</v>
      </c>
      <c r="D367" s="4">
        <f t="shared" si="28"/>
        <v>7</v>
      </c>
      <c r="E367" s="4" t="str">
        <f t="shared" si="29"/>
        <v>Tuesday</v>
      </c>
      <c r="F367" s="4" t="str">
        <f t="shared" si="30"/>
        <v>February</v>
      </c>
      <c r="G367" s="3">
        <v>44964</v>
      </c>
      <c r="H367" s="4" t="s">
        <v>398</v>
      </c>
      <c r="I367" s="4" t="s">
        <v>19</v>
      </c>
      <c r="J367" s="4" t="str" cm="1">
        <f t="array" ref="J367">_xlfn.IFS(K367&lt;30,"Young Adult",K367&lt;50,"Adult",K367&gt;=50,"Senior")</f>
        <v>Senior</v>
      </c>
      <c r="K367" s="4">
        <v>57</v>
      </c>
      <c r="L367" s="4" t="s">
        <v>23</v>
      </c>
      <c r="M367" s="4">
        <v>2</v>
      </c>
      <c r="N367" s="16">
        <v>50</v>
      </c>
      <c r="O367" s="17">
        <f>M367*N367</f>
        <v>100</v>
      </c>
      <c r="P367" s="13">
        <f>$O367*$U$4</f>
        <v>1.5</v>
      </c>
      <c r="Q367" s="13">
        <f>$O367*$U$5</f>
        <v>2</v>
      </c>
      <c r="R367" s="13" cm="1">
        <f t="array" ref="R367">_xlfn.IFS(B367=2023,O367*$U$4,B367=2024,O367*$U$5)</f>
        <v>1.5</v>
      </c>
    </row>
    <row r="368" spans="1:18">
      <c r="A368" s="2">
        <v>367</v>
      </c>
      <c r="B368" s="4">
        <f t="shared" si="26"/>
        <v>2023</v>
      </c>
      <c r="C368" s="4">
        <f t="shared" si="27"/>
        <v>1</v>
      </c>
      <c r="D368" s="4">
        <f t="shared" si="28"/>
        <v>5</v>
      </c>
      <c r="E368" s="4" t="str">
        <f t="shared" si="29"/>
        <v>Thursday</v>
      </c>
      <c r="F368" s="4" t="str">
        <f t="shared" si="30"/>
        <v>January</v>
      </c>
      <c r="G368" s="3">
        <v>44931</v>
      </c>
      <c r="H368" s="4" t="s">
        <v>399</v>
      </c>
      <c r="I368" s="4" t="s">
        <v>22</v>
      </c>
      <c r="J368" s="4" t="str" cm="1">
        <f t="array" ref="J368">_xlfn.IFS(K368&lt;30,"Young Adult",K368&lt;50,"Adult",K368&gt;=50,"Senior")</f>
        <v>Senior</v>
      </c>
      <c r="K368" s="4">
        <v>57</v>
      </c>
      <c r="L368" s="4" t="s">
        <v>26</v>
      </c>
      <c r="M368" s="4">
        <v>1</v>
      </c>
      <c r="N368" s="16">
        <v>50</v>
      </c>
      <c r="O368" s="17">
        <f>M368*N368</f>
        <v>50</v>
      </c>
      <c r="P368" s="13">
        <f>$O368*$U$4</f>
        <v>0.75</v>
      </c>
      <c r="Q368" s="13">
        <f>$O368*$U$5</f>
        <v>1</v>
      </c>
      <c r="R368" s="13" cm="1">
        <f t="array" ref="R368">_xlfn.IFS(B368=2023,O368*$U$4,B368=2024,O368*$U$5)</f>
        <v>0.75</v>
      </c>
    </row>
    <row r="369" spans="1:18">
      <c r="A369" s="2">
        <v>368</v>
      </c>
      <c r="B369" s="4">
        <f t="shared" si="26"/>
        <v>2023</v>
      </c>
      <c r="C369" s="4">
        <f t="shared" si="27"/>
        <v>8</v>
      </c>
      <c r="D369" s="4">
        <f t="shared" si="28"/>
        <v>23</v>
      </c>
      <c r="E369" s="4" t="str">
        <f t="shared" si="29"/>
        <v>Wednesday</v>
      </c>
      <c r="F369" s="4" t="str">
        <f t="shared" si="30"/>
        <v>August</v>
      </c>
      <c r="G369" s="3">
        <v>45161</v>
      </c>
      <c r="H369" s="4" t="s">
        <v>400</v>
      </c>
      <c r="I369" s="4" t="s">
        <v>22</v>
      </c>
      <c r="J369" s="4" t="str" cm="1">
        <f t="array" ref="J369">_xlfn.IFS(K369&lt;30,"Young Adult",K369&lt;50,"Adult",K369&gt;=50,"Senior")</f>
        <v>Senior</v>
      </c>
      <c r="K369" s="4">
        <v>56</v>
      </c>
      <c r="L369" s="4" t="s">
        <v>23</v>
      </c>
      <c r="M369" s="4">
        <v>4</v>
      </c>
      <c r="N369" s="16">
        <v>300</v>
      </c>
      <c r="O369" s="17">
        <f>M369*N369</f>
        <v>1200</v>
      </c>
      <c r="P369" s="13">
        <f>$O369*$U$4</f>
        <v>18</v>
      </c>
      <c r="Q369" s="13">
        <f>$O369*$U$5</f>
        <v>24</v>
      </c>
      <c r="R369" s="13" cm="1">
        <f t="array" ref="R369">_xlfn.IFS(B369=2023,O369*$U$4,B369=2024,O369*$U$5)</f>
        <v>18</v>
      </c>
    </row>
    <row r="370" spans="1:18">
      <c r="A370" s="2">
        <v>369</v>
      </c>
      <c r="B370" s="4">
        <f t="shared" si="26"/>
        <v>2023</v>
      </c>
      <c r="C370" s="4">
        <f t="shared" si="27"/>
        <v>11</v>
      </c>
      <c r="D370" s="4">
        <f t="shared" si="28"/>
        <v>15</v>
      </c>
      <c r="E370" s="4" t="str">
        <f t="shared" si="29"/>
        <v>Wednesday</v>
      </c>
      <c r="F370" s="4" t="str">
        <f t="shared" si="30"/>
        <v>November</v>
      </c>
      <c r="G370" s="3">
        <v>45245</v>
      </c>
      <c r="H370" s="4" t="s">
        <v>401</v>
      </c>
      <c r="I370" s="4" t="s">
        <v>19</v>
      </c>
      <c r="J370" s="4" t="str" cm="1">
        <f t="array" ref="J370">_xlfn.IFS(K370&lt;30,"Young Adult",K370&lt;50,"Adult",K370&gt;=50,"Senior")</f>
        <v>Young Adult</v>
      </c>
      <c r="K370" s="4">
        <v>23</v>
      </c>
      <c r="L370" s="4" t="s">
        <v>26</v>
      </c>
      <c r="M370" s="4">
        <v>3</v>
      </c>
      <c r="N370" s="16">
        <v>500</v>
      </c>
      <c r="O370" s="17">
        <f>M370*N370</f>
        <v>1500</v>
      </c>
      <c r="P370" s="13">
        <f>$O370*$U$4</f>
        <v>22.5</v>
      </c>
      <c r="Q370" s="13">
        <f>$O370*$U$5</f>
        <v>30</v>
      </c>
      <c r="R370" s="13" cm="1">
        <f t="array" ref="R370">_xlfn.IFS(B370=2023,O370*$U$4,B370=2024,O370*$U$5)</f>
        <v>22.5</v>
      </c>
    </row>
    <row r="371" spans="1:18">
      <c r="A371" s="2">
        <v>370</v>
      </c>
      <c r="B371" s="4">
        <f t="shared" si="26"/>
        <v>2023</v>
      </c>
      <c r="C371" s="4">
        <f t="shared" si="27"/>
        <v>10</v>
      </c>
      <c r="D371" s="4">
        <f t="shared" si="28"/>
        <v>16</v>
      </c>
      <c r="E371" s="4" t="str">
        <f t="shared" si="29"/>
        <v>Monday</v>
      </c>
      <c r="F371" s="4" t="str">
        <f t="shared" si="30"/>
        <v>October</v>
      </c>
      <c r="G371" s="3">
        <v>45215</v>
      </c>
      <c r="H371" s="4" t="s">
        <v>402</v>
      </c>
      <c r="I371" s="4" t="s">
        <v>19</v>
      </c>
      <c r="J371" s="4" t="str" cm="1">
        <f t="array" ref="J371">_xlfn.IFS(K371&lt;30,"Young Adult",K371&lt;50,"Adult",K371&gt;=50,"Senior")</f>
        <v>Young Adult</v>
      </c>
      <c r="K371" s="4">
        <v>23</v>
      </c>
      <c r="L371" s="4" t="s">
        <v>26</v>
      </c>
      <c r="M371" s="4">
        <v>2</v>
      </c>
      <c r="N371" s="16">
        <v>30</v>
      </c>
      <c r="O371" s="17">
        <f>M371*N371</f>
        <v>60</v>
      </c>
      <c r="P371" s="13">
        <f>$O371*$U$4</f>
        <v>0.89999999999999991</v>
      </c>
      <c r="Q371" s="13">
        <f>$O371*$U$5</f>
        <v>1.2</v>
      </c>
      <c r="R371" s="13" cm="1">
        <f t="array" ref="R371">_xlfn.IFS(B371=2023,O371*$U$4,B371=2024,O371*$U$5)</f>
        <v>0.89999999999999991</v>
      </c>
    </row>
    <row r="372" spans="1:18">
      <c r="A372" s="2">
        <v>371</v>
      </c>
      <c r="B372" s="4">
        <f t="shared" si="26"/>
        <v>2023</v>
      </c>
      <c r="C372" s="4">
        <f t="shared" si="27"/>
        <v>2</v>
      </c>
      <c r="D372" s="4">
        <f t="shared" si="28"/>
        <v>21</v>
      </c>
      <c r="E372" s="4" t="str">
        <f t="shared" si="29"/>
        <v>Tuesday</v>
      </c>
      <c r="F372" s="4" t="str">
        <f t="shared" si="30"/>
        <v>February</v>
      </c>
      <c r="G372" s="3">
        <v>44978</v>
      </c>
      <c r="H372" s="4" t="s">
        <v>403</v>
      </c>
      <c r="I372" s="4" t="s">
        <v>22</v>
      </c>
      <c r="J372" s="4" t="str" cm="1">
        <f t="array" ref="J372">_xlfn.IFS(K372&lt;30,"Young Adult",K372&lt;50,"Adult",K372&gt;=50,"Senior")</f>
        <v>Young Adult</v>
      </c>
      <c r="K372" s="4">
        <v>20</v>
      </c>
      <c r="L372" s="4" t="s">
        <v>20</v>
      </c>
      <c r="M372" s="4">
        <v>1</v>
      </c>
      <c r="N372" s="16">
        <v>25</v>
      </c>
      <c r="O372" s="17">
        <f>M372*N372</f>
        <v>25</v>
      </c>
      <c r="P372" s="13">
        <f>$O372*$U$4</f>
        <v>0.375</v>
      </c>
      <c r="Q372" s="13">
        <f>$O372*$U$5</f>
        <v>0.5</v>
      </c>
      <c r="R372" s="13" cm="1">
        <f t="array" ref="R372">_xlfn.IFS(B372=2023,O372*$U$4,B372=2024,O372*$U$5)</f>
        <v>0.375</v>
      </c>
    </row>
    <row r="373" spans="1:18">
      <c r="A373" s="2">
        <v>372</v>
      </c>
      <c r="B373" s="4">
        <f t="shared" si="26"/>
        <v>2023</v>
      </c>
      <c r="C373" s="4">
        <f t="shared" si="27"/>
        <v>2</v>
      </c>
      <c r="D373" s="4">
        <f t="shared" si="28"/>
        <v>7</v>
      </c>
      <c r="E373" s="4" t="str">
        <f t="shared" si="29"/>
        <v>Tuesday</v>
      </c>
      <c r="F373" s="4" t="str">
        <f t="shared" si="30"/>
        <v>February</v>
      </c>
      <c r="G373" s="3">
        <v>44964</v>
      </c>
      <c r="H373" s="4" t="s">
        <v>404</v>
      </c>
      <c r="I373" s="4" t="s">
        <v>22</v>
      </c>
      <c r="J373" s="4" t="str" cm="1">
        <f t="array" ref="J373">_xlfn.IFS(K373&lt;30,"Young Adult",K373&lt;50,"Adult",K373&gt;=50,"Senior")</f>
        <v>Young Adult</v>
      </c>
      <c r="K373" s="4">
        <v>24</v>
      </c>
      <c r="L373" s="4" t="s">
        <v>20</v>
      </c>
      <c r="M373" s="4">
        <v>3</v>
      </c>
      <c r="N373" s="16">
        <v>500</v>
      </c>
      <c r="O373" s="17">
        <f>M373*N373</f>
        <v>1500</v>
      </c>
      <c r="P373" s="13">
        <f>$O373*$U$4</f>
        <v>22.5</v>
      </c>
      <c r="Q373" s="13">
        <f>$O373*$U$5</f>
        <v>30</v>
      </c>
      <c r="R373" s="13" cm="1">
        <f t="array" ref="R373">_xlfn.IFS(B373=2023,O373*$U$4,B373=2024,O373*$U$5)</f>
        <v>22.5</v>
      </c>
    </row>
    <row r="374" spans="1:18">
      <c r="A374" s="2">
        <v>373</v>
      </c>
      <c r="B374" s="4">
        <f t="shared" si="26"/>
        <v>2023</v>
      </c>
      <c r="C374" s="4">
        <f t="shared" si="27"/>
        <v>10</v>
      </c>
      <c r="D374" s="4">
        <f t="shared" si="28"/>
        <v>3</v>
      </c>
      <c r="E374" s="4" t="str">
        <f t="shared" si="29"/>
        <v>Tuesday</v>
      </c>
      <c r="F374" s="4" t="str">
        <f t="shared" si="30"/>
        <v>October</v>
      </c>
      <c r="G374" s="3">
        <v>45202</v>
      </c>
      <c r="H374" s="4" t="s">
        <v>405</v>
      </c>
      <c r="I374" s="4" t="s">
        <v>22</v>
      </c>
      <c r="J374" s="4" t="str" cm="1">
        <f t="array" ref="J374">_xlfn.IFS(K374&lt;30,"Young Adult",K374&lt;50,"Adult",K374&gt;=50,"Senior")</f>
        <v>Young Adult</v>
      </c>
      <c r="K374" s="4">
        <v>25</v>
      </c>
      <c r="L374" s="4" t="s">
        <v>20</v>
      </c>
      <c r="M374" s="4">
        <v>2</v>
      </c>
      <c r="N374" s="16">
        <v>300</v>
      </c>
      <c r="O374" s="17">
        <f>M374*N374</f>
        <v>600</v>
      </c>
      <c r="P374" s="13">
        <f>$O374*$U$4</f>
        <v>9</v>
      </c>
      <c r="Q374" s="13">
        <f>$O374*$U$5</f>
        <v>12</v>
      </c>
      <c r="R374" s="13" cm="1">
        <f t="array" ref="R374">_xlfn.IFS(B374=2023,O374*$U$4,B374=2024,O374*$U$5)</f>
        <v>9</v>
      </c>
    </row>
    <row r="375" spans="1:18">
      <c r="A375" s="2">
        <v>374</v>
      </c>
      <c r="B375" s="4">
        <f t="shared" si="26"/>
        <v>2023</v>
      </c>
      <c r="C375" s="4">
        <f t="shared" si="27"/>
        <v>4</v>
      </c>
      <c r="D375" s="4">
        <f t="shared" si="28"/>
        <v>20</v>
      </c>
      <c r="E375" s="4" t="str">
        <f t="shared" si="29"/>
        <v>Thursday</v>
      </c>
      <c r="F375" s="4" t="str">
        <f t="shared" si="30"/>
        <v>April</v>
      </c>
      <c r="G375" s="3">
        <v>45036</v>
      </c>
      <c r="H375" s="4" t="s">
        <v>406</v>
      </c>
      <c r="I375" s="4" t="s">
        <v>22</v>
      </c>
      <c r="J375" s="4" t="str" cm="1">
        <f t="array" ref="J375">_xlfn.IFS(K375&lt;30,"Young Adult",K375&lt;50,"Adult",K375&gt;=50,"Senior")</f>
        <v>Senior</v>
      </c>
      <c r="K375" s="4">
        <v>59</v>
      </c>
      <c r="L375" s="4" t="s">
        <v>20</v>
      </c>
      <c r="M375" s="4">
        <v>3</v>
      </c>
      <c r="N375" s="16">
        <v>25</v>
      </c>
      <c r="O375" s="17">
        <f>M375*N375</f>
        <v>75</v>
      </c>
      <c r="P375" s="13">
        <f>$O375*$U$4</f>
        <v>1.125</v>
      </c>
      <c r="Q375" s="13">
        <f>$O375*$U$5</f>
        <v>1.5</v>
      </c>
      <c r="R375" s="13" cm="1">
        <f t="array" ref="R375">_xlfn.IFS(B375=2023,O375*$U$4,B375=2024,O375*$U$5)</f>
        <v>1.125</v>
      </c>
    </row>
    <row r="376" spans="1:18">
      <c r="A376" s="2">
        <v>375</v>
      </c>
      <c r="B376" s="4">
        <f t="shared" si="26"/>
        <v>2023</v>
      </c>
      <c r="C376" s="4">
        <f t="shared" si="27"/>
        <v>9</v>
      </c>
      <c r="D376" s="4">
        <f t="shared" si="28"/>
        <v>17</v>
      </c>
      <c r="E376" s="4" t="str">
        <f t="shared" si="29"/>
        <v>Sunday</v>
      </c>
      <c r="F376" s="4" t="str">
        <f t="shared" si="30"/>
        <v>September</v>
      </c>
      <c r="G376" s="3">
        <v>45186</v>
      </c>
      <c r="H376" s="4" t="s">
        <v>407</v>
      </c>
      <c r="I376" s="4" t="s">
        <v>19</v>
      </c>
      <c r="J376" s="4" t="str" cm="1">
        <f t="array" ref="J376">_xlfn.IFS(K376&lt;30,"Young Adult",K376&lt;50,"Adult",K376&gt;=50,"Senior")</f>
        <v>Adult</v>
      </c>
      <c r="K376" s="4">
        <v>32</v>
      </c>
      <c r="L376" s="4" t="s">
        <v>23</v>
      </c>
      <c r="M376" s="4">
        <v>1</v>
      </c>
      <c r="N376" s="16">
        <v>50</v>
      </c>
      <c r="O376" s="17">
        <f>M376*N376</f>
        <v>50</v>
      </c>
      <c r="P376" s="13">
        <f>$O376*$U$4</f>
        <v>0.75</v>
      </c>
      <c r="Q376" s="13">
        <f>$O376*$U$5</f>
        <v>1</v>
      </c>
      <c r="R376" s="13" cm="1">
        <f t="array" ref="R376">_xlfn.IFS(B376=2023,O376*$U$4,B376=2024,O376*$U$5)</f>
        <v>0.75</v>
      </c>
    </row>
    <row r="377" spans="1:18">
      <c r="A377" s="2">
        <v>376</v>
      </c>
      <c r="B377" s="4">
        <f t="shared" si="26"/>
        <v>2023</v>
      </c>
      <c r="C377" s="4">
        <f t="shared" si="27"/>
        <v>5</v>
      </c>
      <c r="D377" s="4">
        <f t="shared" si="28"/>
        <v>16</v>
      </c>
      <c r="E377" s="4" t="str">
        <f t="shared" si="29"/>
        <v>Tuesday</v>
      </c>
      <c r="F377" s="4" t="str">
        <f t="shared" si="30"/>
        <v>May</v>
      </c>
      <c r="G377" s="3">
        <v>45062</v>
      </c>
      <c r="H377" s="4" t="s">
        <v>408</v>
      </c>
      <c r="I377" s="4" t="s">
        <v>22</v>
      </c>
      <c r="J377" s="4" t="str" cm="1">
        <f t="array" ref="J377">_xlfn.IFS(K377&lt;30,"Young Adult",K377&lt;50,"Adult",K377&gt;=50,"Senior")</f>
        <v>Senior</v>
      </c>
      <c r="K377" s="4">
        <v>64</v>
      </c>
      <c r="L377" s="4" t="s">
        <v>20</v>
      </c>
      <c r="M377" s="4">
        <v>1</v>
      </c>
      <c r="N377" s="16">
        <v>30</v>
      </c>
      <c r="O377" s="17">
        <f>M377*N377</f>
        <v>30</v>
      </c>
      <c r="P377" s="13">
        <f>$O377*$U$4</f>
        <v>0.44999999999999996</v>
      </c>
      <c r="Q377" s="13">
        <f>$O377*$U$5</f>
        <v>0.6</v>
      </c>
      <c r="R377" s="13" cm="1">
        <f t="array" ref="R377">_xlfn.IFS(B377=2023,O377*$U$4,B377=2024,O377*$U$5)</f>
        <v>0.44999999999999996</v>
      </c>
    </row>
    <row r="378" spans="1:18">
      <c r="A378" s="2">
        <v>377</v>
      </c>
      <c r="B378" s="4">
        <f t="shared" si="26"/>
        <v>2023</v>
      </c>
      <c r="C378" s="4">
        <f t="shared" si="27"/>
        <v>3</v>
      </c>
      <c r="D378" s="4">
        <f t="shared" si="28"/>
        <v>9</v>
      </c>
      <c r="E378" s="4" t="str">
        <f t="shared" si="29"/>
        <v>Thursday</v>
      </c>
      <c r="F378" s="4" t="str">
        <f t="shared" si="30"/>
        <v>March</v>
      </c>
      <c r="G378" s="3">
        <v>44994</v>
      </c>
      <c r="H378" s="4" t="s">
        <v>409</v>
      </c>
      <c r="I378" s="4" t="s">
        <v>22</v>
      </c>
      <c r="J378" s="4" t="str" cm="1">
        <f t="array" ref="J378">_xlfn.IFS(K378&lt;30,"Young Adult",K378&lt;50,"Adult",K378&gt;=50,"Senior")</f>
        <v>Adult</v>
      </c>
      <c r="K378" s="4">
        <v>46</v>
      </c>
      <c r="L378" s="4" t="s">
        <v>23</v>
      </c>
      <c r="M378" s="4">
        <v>4</v>
      </c>
      <c r="N378" s="16">
        <v>50</v>
      </c>
      <c r="O378" s="17">
        <f>M378*N378</f>
        <v>200</v>
      </c>
      <c r="P378" s="13">
        <f>$O378*$U$4</f>
        <v>3</v>
      </c>
      <c r="Q378" s="13">
        <f>$O378*$U$5</f>
        <v>4</v>
      </c>
      <c r="R378" s="13" cm="1">
        <f t="array" ref="R378">_xlfn.IFS(B378=2023,O378*$U$4,B378=2024,O378*$U$5)</f>
        <v>3</v>
      </c>
    </row>
    <row r="379" spans="1:18">
      <c r="A379" s="2">
        <v>378</v>
      </c>
      <c r="B379" s="4">
        <f t="shared" si="26"/>
        <v>2023</v>
      </c>
      <c r="C379" s="4">
        <f t="shared" si="27"/>
        <v>6</v>
      </c>
      <c r="D379" s="4">
        <f t="shared" si="28"/>
        <v>28</v>
      </c>
      <c r="E379" s="4" t="str">
        <f t="shared" si="29"/>
        <v>Wednesday</v>
      </c>
      <c r="F379" s="4" t="str">
        <f t="shared" si="30"/>
        <v>June</v>
      </c>
      <c r="G379" s="3">
        <v>45105</v>
      </c>
      <c r="H379" s="4" t="s">
        <v>410</v>
      </c>
      <c r="I379" s="4" t="s">
        <v>19</v>
      </c>
      <c r="J379" s="4" t="str" cm="1">
        <f t="array" ref="J379">_xlfn.IFS(K379&lt;30,"Young Adult",K379&lt;50,"Adult",K379&gt;=50,"Senior")</f>
        <v>Senior</v>
      </c>
      <c r="K379" s="4">
        <v>50</v>
      </c>
      <c r="L379" s="4" t="s">
        <v>20</v>
      </c>
      <c r="M379" s="4">
        <v>1</v>
      </c>
      <c r="N379" s="16">
        <v>300</v>
      </c>
      <c r="O379" s="17">
        <f>M379*N379</f>
        <v>300</v>
      </c>
      <c r="P379" s="13">
        <f>$O379*$U$4</f>
        <v>4.5</v>
      </c>
      <c r="Q379" s="13">
        <f>$O379*$U$5</f>
        <v>6</v>
      </c>
      <c r="R379" s="13" cm="1">
        <f t="array" ref="R379">_xlfn.IFS(B379=2023,O379*$U$4,B379=2024,O379*$U$5)</f>
        <v>4.5</v>
      </c>
    </row>
    <row r="380" spans="1:18">
      <c r="A380" s="2">
        <v>379</v>
      </c>
      <c r="B380" s="4">
        <f t="shared" si="26"/>
        <v>2023</v>
      </c>
      <c r="C380" s="4">
        <f t="shared" si="27"/>
        <v>2</v>
      </c>
      <c r="D380" s="4">
        <f t="shared" si="28"/>
        <v>5</v>
      </c>
      <c r="E380" s="4" t="str">
        <f t="shared" si="29"/>
        <v>Sunday</v>
      </c>
      <c r="F380" s="4" t="str">
        <f t="shared" si="30"/>
        <v>February</v>
      </c>
      <c r="G380" s="3">
        <v>44962</v>
      </c>
      <c r="H380" s="4" t="s">
        <v>411</v>
      </c>
      <c r="I380" s="4" t="s">
        <v>22</v>
      </c>
      <c r="J380" s="4" t="str" cm="1">
        <f t="array" ref="J380">_xlfn.IFS(K380&lt;30,"Young Adult",K380&lt;50,"Adult",K380&gt;=50,"Senior")</f>
        <v>Adult</v>
      </c>
      <c r="K380" s="4">
        <v>47</v>
      </c>
      <c r="L380" s="4" t="s">
        <v>23</v>
      </c>
      <c r="M380" s="4">
        <v>1</v>
      </c>
      <c r="N380" s="16">
        <v>25</v>
      </c>
      <c r="O380" s="17">
        <f>M380*N380</f>
        <v>25</v>
      </c>
      <c r="P380" s="13">
        <f>$O380*$U$4</f>
        <v>0.375</v>
      </c>
      <c r="Q380" s="13">
        <f>$O380*$U$5</f>
        <v>0.5</v>
      </c>
      <c r="R380" s="13" cm="1">
        <f t="array" ref="R380">_xlfn.IFS(B380=2023,O380*$U$4,B380=2024,O380*$U$5)</f>
        <v>0.375</v>
      </c>
    </row>
    <row r="381" spans="1:18">
      <c r="A381" s="2">
        <v>380</v>
      </c>
      <c r="B381" s="4">
        <f t="shared" si="26"/>
        <v>2023</v>
      </c>
      <c r="C381" s="4">
        <f t="shared" si="27"/>
        <v>5</v>
      </c>
      <c r="D381" s="4">
        <f t="shared" si="28"/>
        <v>6</v>
      </c>
      <c r="E381" s="4" t="str">
        <f t="shared" si="29"/>
        <v>Saturday</v>
      </c>
      <c r="F381" s="4" t="str">
        <f t="shared" si="30"/>
        <v>May</v>
      </c>
      <c r="G381" s="3">
        <v>45052</v>
      </c>
      <c r="H381" s="4" t="s">
        <v>412</v>
      </c>
      <c r="I381" s="4" t="s">
        <v>19</v>
      </c>
      <c r="J381" s="4" t="str" cm="1">
        <f t="array" ref="J381">_xlfn.IFS(K381&lt;30,"Young Adult",K381&lt;50,"Adult",K381&gt;=50,"Senior")</f>
        <v>Senior</v>
      </c>
      <c r="K381" s="4">
        <v>56</v>
      </c>
      <c r="L381" s="4" t="s">
        <v>26</v>
      </c>
      <c r="M381" s="4">
        <v>2</v>
      </c>
      <c r="N381" s="16">
        <v>300</v>
      </c>
      <c r="O381" s="17">
        <f>M381*N381</f>
        <v>600</v>
      </c>
      <c r="P381" s="13">
        <f>$O381*$U$4</f>
        <v>9</v>
      </c>
      <c r="Q381" s="13">
        <f>$O381*$U$5</f>
        <v>12</v>
      </c>
      <c r="R381" s="13" cm="1">
        <f t="array" ref="R381">_xlfn.IFS(B381=2023,O381*$U$4,B381=2024,O381*$U$5)</f>
        <v>9</v>
      </c>
    </row>
    <row r="382" spans="1:18">
      <c r="A382" s="2">
        <v>381</v>
      </c>
      <c r="B382" s="4">
        <f t="shared" si="26"/>
        <v>2023</v>
      </c>
      <c r="C382" s="4">
        <f t="shared" si="27"/>
        <v>7</v>
      </c>
      <c r="D382" s="4">
        <f t="shared" si="28"/>
        <v>9</v>
      </c>
      <c r="E382" s="4" t="str">
        <f t="shared" si="29"/>
        <v>Sunday</v>
      </c>
      <c r="F382" s="4" t="str">
        <f t="shared" si="30"/>
        <v>July</v>
      </c>
      <c r="G382" s="3">
        <v>45116</v>
      </c>
      <c r="H382" s="4" t="s">
        <v>413</v>
      </c>
      <c r="I382" s="4" t="s">
        <v>22</v>
      </c>
      <c r="J382" s="4" t="str" cm="1">
        <f t="array" ref="J382">_xlfn.IFS(K382&lt;30,"Young Adult",K382&lt;50,"Adult",K382&gt;=50,"Senior")</f>
        <v>Adult</v>
      </c>
      <c r="K382" s="4">
        <v>44</v>
      </c>
      <c r="L382" s="4" t="s">
        <v>23</v>
      </c>
      <c r="M382" s="4">
        <v>4</v>
      </c>
      <c r="N382" s="16">
        <v>25</v>
      </c>
      <c r="O382" s="17">
        <f>M382*N382</f>
        <v>100</v>
      </c>
      <c r="P382" s="13">
        <f>$O382*$U$4</f>
        <v>1.5</v>
      </c>
      <c r="Q382" s="13">
        <f>$O382*$U$5</f>
        <v>2</v>
      </c>
      <c r="R382" s="13" cm="1">
        <f t="array" ref="R382">_xlfn.IFS(B382=2023,O382*$U$4,B382=2024,O382*$U$5)</f>
        <v>1.5</v>
      </c>
    </row>
    <row r="383" spans="1:18">
      <c r="A383" s="2">
        <v>382</v>
      </c>
      <c r="B383" s="4">
        <f t="shared" si="26"/>
        <v>2023</v>
      </c>
      <c r="C383" s="4">
        <f t="shared" si="27"/>
        <v>5</v>
      </c>
      <c r="D383" s="4">
        <f t="shared" si="28"/>
        <v>26</v>
      </c>
      <c r="E383" s="4" t="str">
        <f t="shared" si="29"/>
        <v>Friday</v>
      </c>
      <c r="F383" s="4" t="str">
        <f t="shared" si="30"/>
        <v>May</v>
      </c>
      <c r="G383" s="3">
        <v>45072</v>
      </c>
      <c r="H383" s="4" t="s">
        <v>414</v>
      </c>
      <c r="I383" s="4" t="s">
        <v>22</v>
      </c>
      <c r="J383" s="4" t="str" cm="1">
        <f t="array" ref="J383">_xlfn.IFS(K383&lt;30,"Young Adult",K383&lt;50,"Adult",K383&gt;=50,"Senior")</f>
        <v>Senior</v>
      </c>
      <c r="K383" s="4">
        <v>53</v>
      </c>
      <c r="L383" s="4" t="s">
        <v>23</v>
      </c>
      <c r="M383" s="4">
        <v>2</v>
      </c>
      <c r="N383" s="16">
        <v>500</v>
      </c>
      <c r="O383" s="17">
        <f>M383*N383</f>
        <v>1000</v>
      </c>
      <c r="P383" s="13">
        <f>$O383*$U$4</f>
        <v>15</v>
      </c>
      <c r="Q383" s="13">
        <f>$O383*$U$5</f>
        <v>20</v>
      </c>
      <c r="R383" s="13" cm="1">
        <f t="array" ref="R383">_xlfn.IFS(B383=2023,O383*$U$4,B383=2024,O383*$U$5)</f>
        <v>15</v>
      </c>
    </row>
    <row r="384" spans="1:18">
      <c r="A384" s="2">
        <v>383</v>
      </c>
      <c r="B384" s="4">
        <f t="shared" si="26"/>
        <v>2023</v>
      </c>
      <c r="C384" s="4">
        <f t="shared" si="27"/>
        <v>3</v>
      </c>
      <c r="D384" s="4">
        <f t="shared" si="28"/>
        <v>22</v>
      </c>
      <c r="E384" s="4" t="str">
        <f t="shared" si="29"/>
        <v>Wednesday</v>
      </c>
      <c r="F384" s="4" t="str">
        <f t="shared" si="30"/>
        <v>March</v>
      </c>
      <c r="G384" s="3">
        <v>45007</v>
      </c>
      <c r="H384" s="4" t="s">
        <v>415</v>
      </c>
      <c r="I384" s="4" t="s">
        <v>22</v>
      </c>
      <c r="J384" s="4" t="str" cm="1">
        <f t="array" ref="J384">_xlfn.IFS(K384&lt;30,"Young Adult",K384&lt;50,"Adult",K384&gt;=50,"Senior")</f>
        <v>Adult</v>
      </c>
      <c r="K384" s="4">
        <v>46</v>
      </c>
      <c r="L384" s="4" t="s">
        <v>20</v>
      </c>
      <c r="M384" s="4">
        <v>3</v>
      </c>
      <c r="N384" s="16">
        <v>30</v>
      </c>
      <c r="O384" s="17">
        <f>M384*N384</f>
        <v>90</v>
      </c>
      <c r="P384" s="13">
        <f>$O384*$U$4</f>
        <v>1.3499999999999999</v>
      </c>
      <c r="Q384" s="13">
        <f>$O384*$U$5</f>
        <v>1.8</v>
      </c>
      <c r="R384" s="13" cm="1">
        <f t="array" ref="R384">_xlfn.IFS(B384=2023,O384*$U$4,B384=2024,O384*$U$5)</f>
        <v>1.3499999999999999</v>
      </c>
    </row>
    <row r="385" spans="1:18">
      <c r="A385" s="2">
        <v>384</v>
      </c>
      <c r="B385" s="4">
        <f t="shared" si="26"/>
        <v>2023</v>
      </c>
      <c r="C385" s="4">
        <f t="shared" si="27"/>
        <v>8</v>
      </c>
      <c r="D385" s="4">
        <f t="shared" si="28"/>
        <v>13</v>
      </c>
      <c r="E385" s="4" t="str">
        <f t="shared" si="29"/>
        <v>Sunday</v>
      </c>
      <c r="F385" s="4" t="str">
        <f t="shared" si="30"/>
        <v>August</v>
      </c>
      <c r="G385" s="3">
        <v>45151</v>
      </c>
      <c r="H385" s="4" t="s">
        <v>416</v>
      </c>
      <c r="I385" s="4" t="s">
        <v>19</v>
      </c>
      <c r="J385" s="4" t="str" cm="1">
        <f t="array" ref="J385">_xlfn.IFS(K385&lt;30,"Young Adult",K385&lt;50,"Adult",K385&gt;=50,"Senior")</f>
        <v>Senior</v>
      </c>
      <c r="K385" s="4">
        <v>55</v>
      </c>
      <c r="L385" s="4" t="s">
        <v>23</v>
      </c>
      <c r="M385" s="4">
        <v>1</v>
      </c>
      <c r="N385" s="16">
        <v>500</v>
      </c>
      <c r="O385" s="17">
        <f>M385*N385</f>
        <v>500</v>
      </c>
      <c r="P385" s="13">
        <f>$O385*$U$4</f>
        <v>7.5</v>
      </c>
      <c r="Q385" s="13">
        <f>$O385*$U$5</f>
        <v>10</v>
      </c>
      <c r="R385" s="13" cm="1">
        <f t="array" ref="R385">_xlfn.IFS(B385=2023,O385*$U$4,B385=2024,O385*$U$5)</f>
        <v>7.5</v>
      </c>
    </row>
    <row r="386" spans="1:18">
      <c r="A386" s="2">
        <v>385</v>
      </c>
      <c r="B386" s="4">
        <f t="shared" si="26"/>
        <v>2023</v>
      </c>
      <c r="C386" s="4">
        <f t="shared" si="27"/>
        <v>10</v>
      </c>
      <c r="D386" s="4">
        <f t="shared" si="28"/>
        <v>6</v>
      </c>
      <c r="E386" s="4" t="str">
        <f t="shared" si="29"/>
        <v>Friday</v>
      </c>
      <c r="F386" s="4" t="str">
        <f t="shared" si="30"/>
        <v>October</v>
      </c>
      <c r="G386" s="3">
        <v>45205</v>
      </c>
      <c r="H386" s="4" t="s">
        <v>417</v>
      </c>
      <c r="I386" s="4" t="s">
        <v>19</v>
      </c>
      <c r="J386" s="4" t="str" cm="1">
        <f t="array" ref="J386">_xlfn.IFS(K386&lt;30,"Young Adult",K386&lt;50,"Adult",K386&gt;=50,"Senior")</f>
        <v>Senior</v>
      </c>
      <c r="K386" s="4">
        <v>50</v>
      </c>
      <c r="L386" s="4" t="s">
        <v>26</v>
      </c>
      <c r="M386" s="4">
        <v>3</v>
      </c>
      <c r="N386" s="16">
        <v>500</v>
      </c>
      <c r="O386" s="17">
        <f>M386*N386</f>
        <v>1500</v>
      </c>
      <c r="P386" s="13">
        <f>$O386*$U$4</f>
        <v>22.5</v>
      </c>
      <c r="Q386" s="13">
        <f>$O386*$U$5</f>
        <v>30</v>
      </c>
      <c r="R386" s="13" cm="1">
        <f t="array" ref="R386">_xlfn.IFS(B386=2023,O386*$U$4,B386=2024,O386*$U$5)</f>
        <v>22.5</v>
      </c>
    </row>
    <row r="387" spans="1:18">
      <c r="A387" s="2">
        <v>386</v>
      </c>
      <c r="B387" s="4">
        <f t="shared" ref="B387:B450" si="31">YEAR(G387)</f>
        <v>2023</v>
      </c>
      <c r="C387" s="4">
        <f t="shared" ref="C387:C450" si="32">MONTH(G387)</f>
        <v>12</v>
      </c>
      <c r="D387" s="4">
        <f t="shared" ref="D387:D450" si="33">DAY(G387)</f>
        <v>27</v>
      </c>
      <c r="E387" s="4" t="str">
        <f t="shared" ref="E387:E450" si="34">TEXT(G387,"dddd")</f>
        <v>Wednesday</v>
      </c>
      <c r="F387" s="4" t="str">
        <f t="shared" ref="F387:F450" si="35">TEXT(G387,"mmmm")</f>
        <v>December</v>
      </c>
      <c r="G387" s="3">
        <v>45287</v>
      </c>
      <c r="H387" s="4" t="s">
        <v>418</v>
      </c>
      <c r="I387" s="4" t="s">
        <v>22</v>
      </c>
      <c r="J387" s="4" t="str" cm="1">
        <f t="array" ref="J387">_xlfn.IFS(K387&lt;30,"Young Adult",K387&lt;50,"Adult",K387&gt;=50,"Senior")</f>
        <v>Senior</v>
      </c>
      <c r="K387" s="4">
        <v>54</v>
      </c>
      <c r="L387" s="4" t="s">
        <v>26</v>
      </c>
      <c r="M387" s="4">
        <v>2</v>
      </c>
      <c r="N387" s="16">
        <v>300</v>
      </c>
      <c r="O387" s="17">
        <f>M387*N387</f>
        <v>600</v>
      </c>
      <c r="P387" s="13">
        <f>$O387*$U$4</f>
        <v>9</v>
      </c>
      <c r="Q387" s="13">
        <f>$O387*$U$5</f>
        <v>12</v>
      </c>
      <c r="R387" s="13" cm="1">
        <f t="array" ref="R387">_xlfn.IFS(B387=2023,O387*$U$4,B387=2024,O387*$U$5)</f>
        <v>9</v>
      </c>
    </row>
    <row r="388" spans="1:18">
      <c r="A388" s="2">
        <v>387</v>
      </c>
      <c r="B388" s="4">
        <f t="shared" si="31"/>
        <v>2023</v>
      </c>
      <c r="C388" s="4">
        <f t="shared" si="32"/>
        <v>6</v>
      </c>
      <c r="D388" s="4">
        <f t="shared" si="33"/>
        <v>4</v>
      </c>
      <c r="E388" s="4" t="str">
        <f t="shared" si="34"/>
        <v>Sunday</v>
      </c>
      <c r="F388" s="4" t="str">
        <f t="shared" si="35"/>
        <v>June</v>
      </c>
      <c r="G388" s="3">
        <v>45081</v>
      </c>
      <c r="H388" s="4" t="s">
        <v>419</v>
      </c>
      <c r="I388" s="4" t="s">
        <v>19</v>
      </c>
      <c r="J388" s="4" t="str" cm="1">
        <f t="array" ref="J388">_xlfn.IFS(K388&lt;30,"Young Adult",K388&lt;50,"Adult",K388&gt;=50,"Senior")</f>
        <v>Adult</v>
      </c>
      <c r="K388" s="4">
        <v>44</v>
      </c>
      <c r="L388" s="4" t="s">
        <v>20</v>
      </c>
      <c r="M388" s="4">
        <v>1</v>
      </c>
      <c r="N388" s="16">
        <v>30</v>
      </c>
      <c r="O388" s="17">
        <f>M388*N388</f>
        <v>30</v>
      </c>
      <c r="P388" s="13">
        <f>$O388*$U$4</f>
        <v>0.44999999999999996</v>
      </c>
      <c r="Q388" s="13">
        <f>$O388*$U$5</f>
        <v>0.6</v>
      </c>
      <c r="R388" s="13" cm="1">
        <f t="array" ref="R388">_xlfn.IFS(B388=2023,O388*$U$4,B388=2024,O388*$U$5)</f>
        <v>0.44999999999999996</v>
      </c>
    </row>
    <row r="389" spans="1:18">
      <c r="A389" s="2">
        <v>388</v>
      </c>
      <c r="B389" s="4">
        <f t="shared" si="31"/>
        <v>2023</v>
      </c>
      <c r="C389" s="4">
        <f t="shared" si="32"/>
        <v>11</v>
      </c>
      <c r="D389" s="4">
        <f t="shared" si="33"/>
        <v>10</v>
      </c>
      <c r="E389" s="4" t="str">
        <f t="shared" si="34"/>
        <v>Friday</v>
      </c>
      <c r="F389" s="4" t="str">
        <f t="shared" si="35"/>
        <v>November</v>
      </c>
      <c r="G389" s="3">
        <v>45240</v>
      </c>
      <c r="H389" s="4" t="s">
        <v>420</v>
      </c>
      <c r="I389" s="4" t="s">
        <v>19</v>
      </c>
      <c r="J389" s="4" t="str" cm="1">
        <f t="array" ref="J389">_xlfn.IFS(K389&lt;30,"Young Adult",K389&lt;50,"Adult",K389&gt;=50,"Senior")</f>
        <v>Senior</v>
      </c>
      <c r="K389" s="4">
        <v>50</v>
      </c>
      <c r="L389" s="4" t="s">
        <v>26</v>
      </c>
      <c r="M389" s="4">
        <v>1</v>
      </c>
      <c r="N389" s="16">
        <v>25</v>
      </c>
      <c r="O389" s="17">
        <f>M389*N389</f>
        <v>25</v>
      </c>
      <c r="P389" s="13">
        <f>$O389*$U$4</f>
        <v>0.375</v>
      </c>
      <c r="Q389" s="13">
        <f>$O389*$U$5</f>
        <v>0.5</v>
      </c>
      <c r="R389" s="13" cm="1">
        <f t="array" ref="R389">_xlfn.IFS(B389=2023,O389*$U$4,B389=2024,O389*$U$5)</f>
        <v>0.375</v>
      </c>
    </row>
    <row r="390" spans="1:18">
      <c r="A390" s="2">
        <v>389</v>
      </c>
      <c r="B390" s="4">
        <f t="shared" si="31"/>
        <v>2023</v>
      </c>
      <c r="C390" s="4">
        <f t="shared" si="32"/>
        <v>12</v>
      </c>
      <c r="D390" s="4">
        <f t="shared" si="33"/>
        <v>1</v>
      </c>
      <c r="E390" s="4" t="str">
        <f t="shared" si="34"/>
        <v>Friday</v>
      </c>
      <c r="F390" s="4" t="str">
        <f t="shared" si="35"/>
        <v>December</v>
      </c>
      <c r="G390" s="3">
        <v>45261</v>
      </c>
      <c r="H390" s="4" t="s">
        <v>421</v>
      </c>
      <c r="I390" s="4" t="s">
        <v>19</v>
      </c>
      <c r="J390" s="4" t="str" cm="1">
        <f t="array" ref="J390">_xlfn.IFS(K390&lt;30,"Young Adult",K390&lt;50,"Adult",K390&gt;=50,"Senior")</f>
        <v>Young Adult</v>
      </c>
      <c r="K390" s="4">
        <v>21</v>
      </c>
      <c r="L390" s="4" t="s">
        <v>23</v>
      </c>
      <c r="M390" s="4">
        <v>2</v>
      </c>
      <c r="N390" s="16">
        <v>25</v>
      </c>
      <c r="O390" s="17">
        <f>M390*N390</f>
        <v>50</v>
      </c>
      <c r="P390" s="13">
        <f>$O390*$U$4</f>
        <v>0.75</v>
      </c>
      <c r="Q390" s="13">
        <f>$O390*$U$5</f>
        <v>1</v>
      </c>
      <c r="R390" s="13" cm="1">
        <f t="array" ref="R390">_xlfn.IFS(B390=2023,O390*$U$4,B390=2024,O390*$U$5)</f>
        <v>0.75</v>
      </c>
    </row>
    <row r="391" spans="1:18">
      <c r="A391" s="2">
        <v>390</v>
      </c>
      <c r="B391" s="4">
        <f t="shared" si="31"/>
        <v>2023</v>
      </c>
      <c r="C391" s="4">
        <f t="shared" si="32"/>
        <v>9</v>
      </c>
      <c r="D391" s="4">
        <f t="shared" si="33"/>
        <v>28</v>
      </c>
      <c r="E391" s="4" t="str">
        <f t="shared" si="34"/>
        <v>Thursday</v>
      </c>
      <c r="F391" s="4" t="str">
        <f t="shared" si="35"/>
        <v>September</v>
      </c>
      <c r="G391" s="3">
        <v>45197</v>
      </c>
      <c r="H391" s="4" t="s">
        <v>422</v>
      </c>
      <c r="I391" s="4" t="s">
        <v>19</v>
      </c>
      <c r="J391" s="4" t="str" cm="1">
        <f t="array" ref="J391">_xlfn.IFS(K391&lt;30,"Young Adult",K391&lt;50,"Adult",K391&gt;=50,"Senior")</f>
        <v>Adult</v>
      </c>
      <c r="K391" s="4">
        <v>39</v>
      </c>
      <c r="L391" s="4" t="s">
        <v>26</v>
      </c>
      <c r="M391" s="4">
        <v>2</v>
      </c>
      <c r="N391" s="16">
        <v>50</v>
      </c>
      <c r="O391" s="17">
        <f>M391*N391</f>
        <v>100</v>
      </c>
      <c r="P391" s="13">
        <f>$O391*$U$4</f>
        <v>1.5</v>
      </c>
      <c r="Q391" s="13">
        <f>$O391*$U$5</f>
        <v>2</v>
      </c>
      <c r="R391" s="13" cm="1">
        <f t="array" ref="R391">_xlfn.IFS(B391=2023,O391*$U$4,B391=2024,O391*$U$5)</f>
        <v>1.5</v>
      </c>
    </row>
    <row r="392" spans="1:18">
      <c r="A392" s="2">
        <v>391</v>
      </c>
      <c r="B392" s="4">
        <f t="shared" si="31"/>
        <v>2023</v>
      </c>
      <c r="C392" s="4">
        <f t="shared" si="32"/>
        <v>1</v>
      </c>
      <c r="D392" s="4">
        <f t="shared" si="33"/>
        <v>5</v>
      </c>
      <c r="E392" s="4" t="str">
        <f t="shared" si="34"/>
        <v>Thursday</v>
      </c>
      <c r="F392" s="4" t="str">
        <f t="shared" si="35"/>
        <v>January</v>
      </c>
      <c r="G392" s="3">
        <v>44931</v>
      </c>
      <c r="H392" s="4" t="s">
        <v>423</v>
      </c>
      <c r="I392" s="4" t="s">
        <v>19</v>
      </c>
      <c r="J392" s="4" t="str" cm="1">
        <f t="array" ref="J392">_xlfn.IFS(K392&lt;30,"Young Adult",K392&lt;50,"Adult",K392&gt;=50,"Senior")</f>
        <v>Young Adult</v>
      </c>
      <c r="K392" s="4">
        <v>19</v>
      </c>
      <c r="L392" s="4" t="s">
        <v>20</v>
      </c>
      <c r="M392" s="4">
        <v>2</v>
      </c>
      <c r="N392" s="16">
        <v>25</v>
      </c>
      <c r="O392" s="17">
        <f>M392*N392</f>
        <v>50</v>
      </c>
      <c r="P392" s="13">
        <f>$O392*$U$4</f>
        <v>0.75</v>
      </c>
      <c r="Q392" s="13">
        <f>$O392*$U$5</f>
        <v>1</v>
      </c>
      <c r="R392" s="13" cm="1">
        <f t="array" ref="R392">_xlfn.IFS(B392=2023,O392*$U$4,B392=2024,O392*$U$5)</f>
        <v>0.75</v>
      </c>
    </row>
    <row r="393" spans="1:18">
      <c r="A393" s="2">
        <v>392</v>
      </c>
      <c r="B393" s="4">
        <f t="shared" si="31"/>
        <v>2023</v>
      </c>
      <c r="C393" s="4">
        <f t="shared" si="32"/>
        <v>12</v>
      </c>
      <c r="D393" s="4">
        <f t="shared" si="33"/>
        <v>8</v>
      </c>
      <c r="E393" s="4" t="str">
        <f t="shared" si="34"/>
        <v>Friday</v>
      </c>
      <c r="F393" s="4" t="str">
        <f t="shared" si="35"/>
        <v>December</v>
      </c>
      <c r="G393" s="3">
        <v>45268</v>
      </c>
      <c r="H393" s="4" t="s">
        <v>424</v>
      </c>
      <c r="I393" s="4" t="s">
        <v>19</v>
      </c>
      <c r="J393" s="4" t="str" cm="1">
        <f t="array" ref="J393">_xlfn.IFS(K393&lt;30,"Young Adult",K393&lt;50,"Adult",K393&gt;=50,"Senior")</f>
        <v>Young Adult</v>
      </c>
      <c r="K393" s="4">
        <v>27</v>
      </c>
      <c r="L393" s="4" t="s">
        <v>23</v>
      </c>
      <c r="M393" s="4">
        <v>2</v>
      </c>
      <c r="N393" s="16">
        <v>300</v>
      </c>
      <c r="O393" s="17">
        <f>M393*N393</f>
        <v>600</v>
      </c>
      <c r="P393" s="13">
        <f>$O393*$U$4</f>
        <v>9</v>
      </c>
      <c r="Q393" s="13">
        <f>$O393*$U$5</f>
        <v>12</v>
      </c>
      <c r="R393" s="13" cm="1">
        <f t="array" ref="R393">_xlfn.IFS(B393=2023,O393*$U$4,B393=2024,O393*$U$5)</f>
        <v>9</v>
      </c>
    </row>
    <row r="394" spans="1:18">
      <c r="A394" s="2">
        <v>393</v>
      </c>
      <c r="B394" s="4">
        <f t="shared" si="31"/>
        <v>2023</v>
      </c>
      <c r="C394" s="4">
        <f t="shared" si="32"/>
        <v>10</v>
      </c>
      <c r="D394" s="4">
        <f t="shared" si="33"/>
        <v>11</v>
      </c>
      <c r="E394" s="4" t="str">
        <f t="shared" si="34"/>
        <v>Wednesday</v>
      </c>
      <c r="F394" s="4" t="str">
        <f t="shared" si="35"/>
        <v>October</v>
      </c>
      <c r="G394" s="3">
        <v>45210</v>
      </c>
      <c r="H394" s="4" t="s">
        <v>425</v>
      </c>
      <c r="I394" s="4" t="s">
        <v>22</v>
      </c>
      <c r="J394" s="4" t="str" cm="1">
        <f t="array" ref="J394">_xlfn.IFS(K394&lt;30,"Young Adult",K394&lt;50,"Adult",K394&gt;=50,"Senior")</f>
        <v>Young Adult</v>
      </c>
      <c r="K394" s="4">
        <v>22</v>
      </c>
      <c r="L394" s="4" t="s">
        <v>20</v>
      </c>
      <c r="M394" s="4">
        <v>2</v>
      </c>
      <c r="N394" s="16">
        <v>500</v>
      </c>
      <c r="O394" s="17">
        <f>M394*N394</f>
        <v>1000</v>
      </c>
      <c r="P394" s="13">
        <f>$O394*$U$4</f>
        <v>15</v>
      </c>
      <c r="Q394" s="13">
        <f>$O394*$U$5</f>
        <v>20</v>
      </c>
      <c r="R394" s="13" cm="1">
        <f t="array" ref="R394">_xlfn.IFS(B394=2023,O394*$U$4,B394=2024,O394*$U$5)</f>
        <v>15</v>
      </c>
    </row>
    <row r="395" spans="1:18">
      <c r="A395" s="2">
        <v>394</v>
      </c>
      <c r="B395" s="4">
        <f t="shared" si="31"/>
        <v>2023</v>
      </c>
      <c r="C395" s="4">
        <f t="shared" si="32"/>
        <v>6</v>
      </c>
      <c r="D395" s="4">
        <f t="shared" si="33"/>
        <v>3</v>
      </c>
      <c r="E395" s="4" t="str">
        <f t="shared" si="34"/>
        <v>Saturday</v>
      </c>
      <c r="F395" s="4" t="str">
        <f t="shared" si="35"/>
        <v>June</v>
      </c>
      <c r="G395" s="3">
        <v>45080</v>
      </c>
      <c r="H395" s="4" t="s">
        <v>426</v>
      </c>
      <c r="I395" s="4" t="s">
        <v>22</v>
      </c>
      <c r="J395" s="4" t="str" cm="1">
        <f t="array" ref="J395">_xlfn.IFS(K395&lt;30,"Young Adult",K395&lt;50,"Adult",K395&gt;=50,"Senior")</f>
        <v>Young Adult</v>
      </c>
      <c r="K395" s="4">
        <v>27</v>
      </c>
      <c r="L395" s="4" t="s">
        <v>23</v>
      </c>
      <c r="M395" s="4">
        <v>1</v>
      </c>
      <c r="N395" s="16">
        <v>500</v>
      </c>
      <c r="O395" s="17">
        <f>M395*N395</f>
        <v>500</v>
      </c>
      <c r="P395" s="13">
        <f>$O395*$U$4</f>
        <v>7.5</v>
      </c>
      <c r="Q395" s="13">
        <f>$O395*$U$5</f>
        <v>10</v>
      </c>
      <c r="R395" s="13" cm="1">
        <f t="array" ref="R395">_xlfn.IFS(B395=2023,O395*$U$4,B395=2024,O395*$U$5)</f>
        <v>7.5</v>
      </c>
    </row>
    <row r="396" spans="1:18">
      <c r="A396" s="2">
        <v>395</v>
      </c>
      <c r="B396" s="4">
        <f t="shared" si="31"/>
        <v>2023</v>
      </c>
      <c r="C396" s="4">
        <f t="shared" si="32"/>
        <v>12</v>
      </c>
      <c r="D396" s="4">
        <f t="shared" si="33"/>
        <v>6</v>
      </c>
      <c r="E396" s="4" t="str">
        <f t="shared" si="34"/>
        <v>Wednesday</v>
      </c>
      <c r="F396" s="4" t="str">
        <f t="shared" si="35"/>
        <v>December</v>
      </c>
      <c r="G396" s="3">
        <v>45266</v>
      </c>
      <c r="H396" s="4" t="s">
        <v>427</v>
      </c>
      <c r="I396" s="4" t="s">
        <v>19</v>
      </c>
      <c r="J396" s="4" t="str" cm="1">
        <f t="array" ref="J396">_xlfn.IFS(K396&lt;30,"Young Adult",K396&lt;50,"Adult",K396&gt;=50,"Senior")</f>
        <v>Senior</v>
      </c>
      <c r="K396" s="4">
        <v>50</v>
      </c>
      <c r="L396" s="4" t="s">
        <v>26</v>
      </c>
      <c r="M396" s="4">
        <v>2</v>
      </c>
      <c r="N396" s="16">
        <v>500</v>
      </c>
      <c r="O396" s="17">
        <f>M396*N396</f>
        <v>1000</v>
      </c>
      <c r="P396" s="13">
        <f>$O396*$U$4</f>
        <v>15</v>
      </c>
      <c r="Q396" s="13">
        <f>$O396*$U$5</f>
        <v>20</v>
      </c>
      <c r="R396" s="13" cm="1">
        <f t="array" ref="R396">_xlfn.IFS(B396=2023,O396*$U$4,B396=2024,O396*$U$5)</f>
        <v>15</v>
      </c>
    </row>
    <row r="397" spans="1:18">
      <c r="A397" s="2">
        <v>396</v>
      </c>
      <c r="B397" s="4">
        <f t="shared" si="31"/>
        <v>2023</v>
      </c>
      <c r="C397" s="4">
        <f t="shared" si="32"/>
        <v>2</v>
      </c>
      <c r="D397" s="4">
        <f t="shared" si="33"/>
        <v>23</v>
      </c>
      <c r="E397" s="4" t="str">
        <f t="shared" si="34"/>
        <v>Thursday</v>
      </c>
      <c r="F397" s="4" t="str">
        <f t="shared" si="35"/>
        <v>February</v>
      </c>
      <c r="G397" s="3">
        <v>44980</v>
      </c>
      <c r="H397" s="4" t="s">
        <v>428</v>
      </c>
      <c r="I397" s="4" t="s">
        <v>22</v>
      </c>
      <c r="J397" s="4" t="str" cm="1">
        <f t="array" ref="J397">_xlfn.IFS(K397&lt;30,"Young Adult",K397&lt;50,"Adult",K397&gt;=50,"Senior")</f>
        <v>Senior</v>
      </c>
      <c r="K397" s="4">
        <v>55</v>
      </c>
      <c r="L397" s="4" t="s">
        <v>20</v>
      </c>
      <c r="M397" s="4">
        <v>1</v>
      </c>
      <c r="N397" s="16">
        <v>30</v>
      </c>
      <c r="O397" s="17">
        <f>M397*N397</f>
        <v>30</v>
      </c>
      <c r="P397" s="13">
        <f>$O397*$U$4</f>
        <v>0.44999999999999996</v>
      </c>
      <c r="Q397" s="13">
        <f>$O397*$U$5</f>
        <v>0.6</v>
      </c>
      <c r="R397" s="13" cm="1">
        <f t="array" ref="R397">_xlfn.IFS(B397=2023,O397*$U$4,B397=2024,O397*$U$5)</f>
        <v>0.44999999999999996</v>
      </c>
    </row>
    <row r="398" spans="1:18">
      <c r="A398" s="2">
        <v>397</v>
      </c>
      <c r="B398" s="4">
        <f t="shared" si="31"/>
        <v>2023</v>
      </c>
      <c r="C398" s="4">
        <f t="shared" si="32"/>
        <v>3</v>
      </c>
      <c r="D398" s="4">
        <f t="shared" si="33"/>
        <v>10</v>
      </c>
      <c r="E398" s="4" t="str">
        <f t="shared" si="34"/>
        <v>Friday</v>
      </c>
      <c r="F398" s="4" t="str">
        <f t="shared" si="35"/>
        <v>March</v>
      </c>
      <c r="G398" s="3">
        <v>44995</v>
      </c>
      <c r="H398" s="4" t="s">
        <v>429</v>
      </c>
      <c r="I398" s="4" t="s">
        <v>22</v>
      </c>
      <c r="J398" s="4" t="str" cm="1">
        <f t="array" ref="J398">_xlfn.IFS(K398&lt;30,"Young Adult",K398&lt;50,"Adult",K398&gt;=50,"Senior")</f>
        <v>Adult</v>
      </c>
      <c r="K398" s="4">
        <v>30</v>
      </c>
      <c r="L398" s="4" t="s">
        <v>20</v>
      </c>
      <c r="M398" s="4">
        <v>1</v>
      </c>
      <c r="N398" s="16">
        <v>25</v>
      </c>
      <c r="O398" s="17">
        <f>M398*N398</f>
        <v>25</v>
      </c>
      <c r="P398" s="13">
        <f>$O398*$U$4</f>
        <v>0.375</v>
      </c>
      <c r="Q398" s="13">
        <f>$O398*$U$5</f>
        <v>0.5</v>
      </c>
      <c r="R398" s="13" cm="1">
        <f t="array" ref="R398">_xlfn.IFS(B398=2023,O398*$U$4,B398=2024,O398*$U$5)</f>
        <v>0.375</v>
      </c>
    </row>
    <row r="399" spans="1:18">
      <c r="A399" s="2">
        <v>398</v>
      </c>
      <c r="B399" s="4">
        <f t="shared" si="31"/>
        <v>2023</v>
      </c>
      <c r="C399" s="4">
        <f t="shared" si="32"/>
        <v>5</v>
      </c>
      <c r="D399" s="4">
        <f t="shared" si="33"/>
        <v>16</v>
      </c>
      <c r="E399" s="4" t="str">
        <f t="shared" si="34"/>
        <v>Tuesday</v>
      </c>
      <c r="F399" s="4" t="str">
        <f t="shared" si="35"/>
        <v>May</v>
      </c>
      <c r="G399" s="3">
        <v>45062</v>
      </c>
      <c r="H399" s="4" t="s">
        <v>430</v>
      </c>
      <c r="I399" s="4" t="s">
        <v>22</v>
      </c>
      <c r="J399" s="4" t="str" cm="1">
        <f t="array" ref="J399">_xlfn.IFS(K399&lt;30,"Young Adult",K399&lt;50,"Adult",K399&gt;=50,"Senior")</f>
        <v>Adult</v>
      </c>
      <c r="K399" s="4">
        <v>48</v>
      </c>
      <c r="L399" s="4" t="s">
        <v>23</v>
      </c>
      <c r="M399" s="4">
        <v>2</v>
      </c>
      <c r="N399" s="16">
        <v>300</v>
      </c>
      <c r="O399" s="17">
        <f>M399*N399</f>
        <v>600</v>
      </c>
      <c r="P399" s="13">
        <f>$O399*$U$4</f>
        <v>9</v>
      </c>
      <c r="Q399" s="13">
        <f>$O399*$U$5</f>
        <v>12</v>
      </c>
      <c r="R399" s="13" cm="1">
        <f t="array" ref="R399">_xlfn.IFS(B399=2023,O399*$U$4,B399=2024,O399*$U$5)</f>
        <v>9</v>
      </c>
    </row>
    <row r="400" spans="1:18">
      <c r="A400" s="2">
        <v>399</v>
      </c>
      <c r="B400" s="4">
        <f t="shared" si="31"/>
        <v>2023</v>
      </c>
      <c r="C400" s="4">
        <f t="shared" si="32"/>
        <v>3</v>
      </c>
      <c r="D400" s="4">
        <f t="shared" si="33"/>
        <v>1</v>
      </c>
      <c r="E400" s="4" t="str">
        <f t="shared" si="34"/>
        <v>Wednesday</v>
      </c>
      <c r="F400" s="4" t="str">
        <f t="shared" si="35"/>
        <v>March</v>
      </c>
      <c r="G400" s="3">
        <v>44986</v>
      </c>
      <c r="H400" s="4" t="s">
        <v>431</v>
      </c>
      <c r="I400" s="4" t="s">
        <v>22</v>
      </c>
      <c r="J400" s="4" t="str" cm="1">
        <f t="array" ref="J400">_xlfn.IFS(K400&lt;30,"Young Adult",K400&lt;50,"Adult",K400&gt;=50,"Senior")</f>
        <v>Senior</v>
      </c>
      <c r="K400" s="4">
        <v>64</v>
      </c>
      <c r="L400" s="4" t="s">
        <v>20</v>
      </c>
      <c r="M400" s="4">
        <v>2</v>
      </c>
      <c r="N400" s="16">
        <v>30</v>
      </c>
      <c r="O400" s="17">
        <f>M400*N400</f>
        <v>60</v>
      </c>
      <c r="P400" s="13">
        <f>$O400*$U$4</f>
        <v>0.89999999999999991</v>
      </c>
      <c r="Q400" s="13">
        <f>$O400*$U$5</f>
        <v>1.2</v>
      </c>
      <c r="R400" s="13" cm="1">
        <f t="array" ref="R400">_xlfn.IFS(B400=2023,O400*$U$4,B400=2024,O400*$U$5)</f>
        <v>0.89999999999999991</v>
      </c>
    </row>
    <row r="401" spans="1:18">
      <c r="A401" s="2">
        <v>400</v>
      </c>
      <c r="B401" s="4">
        <f t="shared" si="31"/>
        <v>2023</v>
      </c>
      <c r="C401" s="4">
        <f t="shared" si="32"/>
        <v>2</v>
      </c>
      <c r="D401" s="4">
        <f t="shared" si="33"/>
        <v>24</v>
      </c>
      <c r="E401" s="4" t="str">
        <f t="shared" si="34"/>
        <v>Friday</v>
      </c>
      <c r="F401" s="4" t="str">
        <f t="shared" si="35"/>
        <v>February</v>
      </c>
      <c r="G401" s="3">
        <v>44981</v>
      </c>
      <c r="H401" s="4" t="s">
        <v>432</v>
      </c>
      <c r="I401" s="4" t="s">
        <v>19</v>
      </c>
      <c r="J401" s="4" t="str" cm="1">
        <f t="array" ref="J401">_xlfn.IFS(K401&lt;30,"Young Adult",K401&lt;50,"Adult",K401&gt;=50,"Senior")</f>
        <v>Senior</v>
      </c>
      <c r="K401" s="4">
        <v>53</v>
      </c>
      <c r="L401" s="4" t="s">
        <v>23</v>
      </c>
      <c r="M401" s="4">
        <v>4</v>
      </c>
      <c r="N401" s="16">
        <v>50</v>
      </c>
      <c r="O401" s="17">
        <f>M401*N401</f>
        <v>200</v>
      </c>
      <c r="P401" s="13">
        <f>$O401*$U$4</f>
        <v>3</v>
      </c>
      <c r="Q401" s="13">
        <f>$O401*$U$5</f>
        <v>4</v>
      </c>
      <c r="R401" s="13" cm="1">
        <f t="array" ref="R401">_xlfn.IFS(B401=2023,O401*$U$4,B401=2024,O401*$U$5)</f>
        <v>3</v>
      </c>
    </row>
    <row r="402" spans="1:18">
      <c r="A402" s="2">
        <v>401</v>
      </c>
      <c r="B402" s="4">
        <f t="shared" si="31"/>
        <v>2023</v>
      </c>
      <c r="C402" s="4">
        <f t="shared" si="32"/>
        <v>10</v>
      </c>
      <c r="D402" s="4">
        <f t="shared" si="33"/>
        <v>11</v>
      </c>
      <c r="E402" s="4" t="str">
        <f t="shared" si="34"/>
        <v>Wednesday</v>
      </c>
      <c r="F402" s="4" t="str">
        <f t="shared" si="35"/>
        <v>October</v>
      </c>
      <c r="G402" s="3">
        <v>45210</v>
      </c>
      <c r="H402" s="4" t="s">
        <v>433</v>
      </c>
      <c r="I402" s="4" t="s">
        <v>22</v>
      </c>
      <c r="J402" s="4" t="str" cm="1">
        <f t="array" ref="J402">_xlfn.IFS(K402&lt;30,"Young Adult",K402&lt;50,"Adult",K402&gt;=50,"Senior")</f>
        <v>Senior</v>
      </c>
      <c r="K402" s="4">
        <v>62</v>
      </c>
      <c r="L402" s="4" t="s">
        <v>23</v>
      </c>
      <c r="M402" s="4">
        <v>1</v>
      </c>
      <c r="N402" s="16">
        <v>300</v>
      </c>
      <c r="O402" s="17">
        <f>M402*N402</f>
        <v>300</v>
      </c>
      <c r="P402" s="13">
        <f>$O402*$U$4</f>
        <v>4.5</v>
      </c>
      <c r="Q402" s="13">
        <f>$O402*$U$5</f>
        <v>6</v>
      </c>
      <c r="R402" s="13" cm="1">
        <f t="array" ref="R402">_xlfn.IFS(B402=2023,O402*$U$4,B402=2024,O402*$U$5)</f>
        <v>4.5</v>
      </c>
    </row>
    <row r="403" spans="1:18">
      <c r="A403" s="2">
        <v>402</v>
      </c>
      <c r="B403" s="4">
        <f t="shared" si="31"/>
        <v>2023</v>
      </c>
      <c r="C403" s="4">
        <f t="shared" si="32"/>
        <v>3</v>
      </c>
      <c r="D403" s="4">
        <f t="shared" si="33"/>
        <v>21</v>
      </c>
      <c r="E403" s="4" t="str">
        <f t="shared" si="34"/>
        <v>Tuesday</v>
      </c>
      <c r="F403" s="4" t="str">
        <f t="shared" si="35"/>
        <v>March</v>
      </c>
      <c r="G403" s="3">
        <v>45006</v>
      </c>
      <c r="H403" s="4" t="s">
        <v>434</v>
      </c>
      <c r="I403" s="4" t="s">
        <v>22</v>
      </c>
      <c r="J403" s="4" t="str" cm="1">
        <f t="array" ref="J403">_xlfn.IFS(K403&lt;30,"Young Adult",K403&lt;50,"Adult",K403&gt;=50,"Senior")</f>
        <v>Adult</v>
      </c>
      <c r="K403" s="4">
        <v>41</v>
      </c>
      <c r="L403" s="4" t="s">
        <v>23</v>
      </c>
      <c r="M403" s="4">
        <v>2</v>
      </c>
      <c r="N403" s="16">
        <v>300</v>
      </c>
      <c r="O403" s="17">
        <f>M403*N403</f>
        <v>600</v>
      </c>
      <c r="P403" s="13">
        <f>$O403*$U$4</f>
        <v>9</v>
      </c>
      <c r="Q403" s="13">
        <f>$O403*$U$5</f>
        <v>12</v>
      </c>
      <c r="R403" s="13" cm="1">
        <f t="array" ref="R403">_xlfn.IFS(B403=2023,O403*$U$4,B403=2024,O403*$U$5)</f>
        <v>9</v>
      </c>
    </row>
    <row r="404" spans="1:18">
      <c r="A404" s="2">
        <v>403</v>
      </c>
      <c r="B404" s="4">
        <f t="shared" si="31"/>
        <v>2023</v>
      </c>
      <c r="C404" s="4">
        <f t="shared" si="32"/>
        <v>5</v>
      </c>
      <c r="D404" s="4">
        <f t="shared" si="33"/>
        <v>20</v>
      </c>
      <c r="E404" s="4" t="str">
        <f t="shared" si="34"/>
        <v>Saturday</v>
      </c>
      <c r="F404" s="4" t="str">
        <f t="shared" si="35"/>
        <v>May</v>
      </c>
      <c r="G404" s="3">
        <v>45066</v>
      </c>
      <c r="H404" s="4" t="s">
        <v>435</v>
      </c>
      <c r="I404" s="4" t="s">
        <v>19</v>
      </c>
      <c r="J404" s="4" t="str" cm="1">
        <f t="array" ref="J404">_xlfn.IFS(K404&lt;30,"Young Adult",K404&lt;50,"Adult",K404&gt;=50,"Senior")</f>
        <v>Adult</v>
      </c>
      <c r="K404" s="4">
        <v>32</v>
      </c>
      <c r="L404" s="4" t="s">
        <v>23</v>
      </c>
      <c r="M404" s="4">
        <v>2</v>
      </c>
      <c r="N404" s="16">
        <v>300</v>
      </c>
      <c r="O404" s="17">
        <f>M404*N404</f>
        <v>600</v>
      </c>
      <c r="P404" s="13">
        <f>$O404*$U$4</f>
        <v>9</v>
      </c>
      <c r="Q404" s="13">
        <f>$O404*$U$5</f>
        <v>12</v>
      </c>
      <c r="R404" s="13" cm="1">
        <f t="array" ref="R404">_xlfn.IFS(B404=2023,O404*$U$4,B404=2024,O404*$U$5)</f>
        <v>9</v>
      </c>
    </row>
    <row r="405" spans="1:18">
      <c r="A405" s="2">
        <v>404</v>
      </c>
      <c r="B405" s="4">
        <f t="shared" si="31"/>
        <v>2023</v>
      </c>
      <c r="C405" s="4">
        <f t="shared" si="32"/>
        <v>5</v>
      </c>
      <c r="D405" s="4">
        <f t="shared" si="33"/>
        <v>25</v>
      </c>
      <c r="E405" s="4" t="str">
        <f t="shared" si="34"/>
        <v>Thursday</v>
      </c>
      <c r="F405" s="4" t="str">
        <f t="shared" si="35"/>
        <v>May</v>
      </c>
      <c r="G405" s="3">
        <v>45071</v>
      </c>
      <c r="H405" s="4" t="s">
        <v>436</v>
      </c>
      <c r="I405" s="4" t="s">
        <v>19</v>
      </c>
      <c r="J405" s="4" t="str" cm="1">
        <f t="array" ref="J405">_xlfn.IFS(K405&lt;30,"Young Adult",K405&lt;50,"Adult",K405&gt;=50,"Senior")</f>
        <v>Adult</v>
      </c>
      <c r="K405" s="4">
        <v>46</v>
      </c>
      <c r="L405" s="4" t="s">
        <v>26</v>
      </c>
      <c r="M405" s="4">
        <v>2</v>
      </c>
      <c r="N405" s="16">
        <v>500</v>
      </c>
      <c r="O405" s="17">
        <f>M405*N405</f>
        <v>1000</v>
      </c>
      <c r="P405" s="13">
        <f>$O405*$U$4</f>
        <v>15</v>
      </c>
      <c r="Q405" s="13">
        <f>$O405*$U$5</f>
        <v>20</v>
      </c>
      <c r="R405" s="13" cm="1">
        <f t="array" ref="R405">_xlfn.IFS(B405=2023,O405*$U$4,B405=2024,O405*$U$5)</f>
        <v>15</v>
      </c>
    </row>
    <row r="406" spans="1:18">
      <c r="A406" s="2">
        <v>405</v>
      </c>
      <c r="B406" s="4">
        <f t="shared" si="31"/>
        <v>2023</v>
      </c>
      <c r="C406" s="4">
        <f t="shared" si="32"/>
        <v>11</v>
      </c>
      <c r="D406" s="4">
        <f t="shared" si="33"/>
        <v>6</v>
      </c>
      <c r="E406" s="4" t="str">
        <f t="shared" si="34"/>
        <v>Monday</v>
      </c>
      <c r="F406" s="4" t="str">
        <f t="shared" si="35"/>
        <v>November</v>
      </c>
      <c r="G406" s="3">
        <v>45236</v>
      </c>
      <c r="H406" s="4" t="s">
        <v>437</v>
      </c>
      <c r="I406" s="4" t="s">
        <v>22</v>
      </c>
      <c r="J406" s="4" t="str" cm="1">
        <f t="array" ref="J406">_xlfn.IFS(K406&lt;30,"Young Adult",K406&lt;50,"Adult",K406&gt;=50,"Senior")</f>
        <v>Young Adult</v>
      </c>
      <c r="K406" s="4">
        <v>25</v>
      </c>
      <c r="L406" s="4" t="s">
        <v>23</v>
      </c>
      <c r="M406" s="4">
        <v>4</v>
      </c>
      <c r="N406" s="16">
        <v>300</v>
      </c>
      <c r="O406" s="17">
        <f>M406*N406</f>
        <v>1200</v>
      </c>
      <c r="P406" s="13">
        <f>$O406*$U$4</f>
        <v>18</v>
      </c>
      <c r="Q406" s="13">
        <f>$O406*$U$5</f>
        <v>24</v>
      </c>
      <c r="R406" s="13" cm="1">
        <f t="array" ref="R406">_xlfn.IFS(B406=2023,O406*$U$4,B406=2024,O406*$U$5)</f>
        <v>18</v>
      </c>
    </row>
    <row r="407" spans="1:18">
      <c r="A407" s="2">
        <v>406</v>
      </c>
      <c r="B407" s="4">
        <f t="shared" si="31"/>
        <v>2023</v>
      </c>
      <c r="C407" s="4">
        <f t="shared" si="32"/>
        <v>4</v>
      </c>
      <c r="D407" s="4">
        <f t="shared" si="33"/>
        <v>18</v>
      </c>
      <c r="E407" s="4" t="str">
        <f t="shared" si="34"/>
        <v>Tuesday</v>
      </c>
      <c r="F407" s="4" t="str">
        <f t="shared" si="35"/>
        <v>April</v>
      </c>
      <c r="G407" s="3">
        <v>45034</v>
      </c>
      <c r="H407" s="4" t="s">
        <v>438</v>
      </c>
      <c r="I407" s="4" t="s">
        <v>22</v>
      </c>
      <c r="J407" s="4" t="str" cm="1">
        <f t="array" ref="J407">_xlfn.IFS(K407&lt;30,"Young Adult",K407&lt;50,"Adult",K407&gt;=50,"Senior")</f>
        <v>Young Adult</v>
      </c>
      <c r="K407" s="4">
        <v>22</v>
      </c>
      <c r="L407" s="4" t="s">
        <v>20</v>
      </c>
      <c r="M407" s="4">
        <v>4</v>
      </c>
      <c r="N407" s="16">
        <v>25</v>
      </c>
      <c r="O407" s="17">
        <f>M407*N407</f>
        <v>100</v>
      </c>
      <c r="P407" s="13">
        <f>$O407*$U$4</f>
        <v>1.5</v>
      </c>
      <c r="Q407" s="13">
        <f>$O407*$U$5</f>
        <v>2</v>
      </c>
      <c r="R407" s="13" cm="1">
        <f t="array" ref="R407">_xlfn.IFS(B407=2023,O407*$U$4,B407=2024,O407*$U$5)</f>
        <v>1.5</v>
      </c>
    </row>
    <row r="408" spans="1:18">
      <c r="A408" s="2">
        <v>407</v>
      </c>
      <c r="B408" s="4">
        <f t="shared" si="31"/>
        <v>2023</v>
      </c>
      <c r="C408" s="4">
        <f t="shared" si="32"/>
        <v>6</v>
      </c>
      <c r="D408" s="4">
        <f t="shared" si="33"/>
        <v>25</v>
      </c>
      <c r="E408" s="4" t="str">
        <f t="shared" si="34"/>
        <v>Sunday</v>
      </c>
      <c r="F408" s="4" t="str">
        <f t="shared" si="35"/>
        <v>June</v>
      </c>
      <c r="G408" s="3">
        <v>45102</v>
      </c>
      <c r="H408" s="4" t="s">
        <v>439</v>
      </c>
      <c r="I408" s="4" t="s">
        <v>22</v>
      </c>
      <c r="J408" s="4" t="str" cm="1">
        <f t="array" ref="J408">_xlfn.IFS(K408&lt;30,"Young Adult",K408&lt;50,"Adult",K408&gt;=50,"Senior")</f>
        <v>Adult</v>
      </c>
      <c r="K408" s="4">
        <v>46</v>
      </c>
      <c r="L408" s="4" t="s">
        <v>26</v>
      </c>
      <c r="M408" s="4">
        <v>3</v>
      </c>
      <c r="N408" s="16">
        <v>300</v>
      </c>
      <c r="O408" s="17">
        <f>M408*N408</f>
        <v>900</v>
      </c>
      <c r="P408" s="13">
        <f>$O408*$U$4</f>
        <v>13.5</v>
      </c>
      <c r="Q408" s="13">
        <f>$O408*$U$5</f>
        <v>18</v>
      </c>
      <c r="R408" s="13" cm="1">
        <f t="array" ref="R408">_xlfn.IFS(B408=2023,O408*$U$4,B408=2024,O408*$U$5)</f>
        <v>13.5</v>
      </c>
    </row>
    <row r="409" spans="1:18">
      <c r="A409" s="2">
        <v>408</v>
      </c>
      <c r="B409" s="4">
        <f t="shared" si="31"/>
        <v>2023</v>
      </c>
      <c r="C409" s="4">
        <f t="shared" si="32"/>
        <v>4</v>
      </c>
      <c r="D409" s="4">
        <f t="shared" si="33"/>
        <v>15</v>
      </c>
      <c r="E409" s="4" t="str">
        <f t="shared" si="34"/>
        <v>Saturday</v>
      </c>
      <c r="F409" s="4" t="str">
        <f t="shared" si="35"/>
        <v>April</v>
      </c>
      <c r="G409" s="3">
        <v>45031</v>
      </c>
      <c r="H409" s="4" t="s">
        <v>440</v>
      </c>
      <c r="I409" s="4" t="s">
        <v>22</v>
      </c>
      <c r="J409" s="4" t="str" cm="1">
        <f t="array" ref="J409">_xlfn.IFS(K409&lt;30,"Young Adult",K409&lt;50,"Adult",K409&gt;=50,"Senior")</f>
        <v>Senior</v>
      </c>
      <c r="K409" s="4">
        <v>64</v>
      </c>
      <c r="L409" s="4" t="s">
        <v>20</v>
      </c>
      <c r="M409" s="4">
        <v>1</v>
      </c>
      <c r="N409" s="16">
        <v>500</v>
      </c>
      <c r="O409" s="17">
        <f>M409*N409</f>
        <v>500</v>
      </c>
      <c r="P409" s="13">
        <f>$O409*$U$4</f>
        <v>7.5</v>
      </c>
      <c r="Q409" s="13">
        <f>$O409*$U$5</f>
        <v>10</v>
      </c>
      <c r="R409" s="13" cm="1">
        <f t="array" ref="R409">_xlfn.IFS(B409=2023,O409*$U$4,B409=2024,O409*$U$5)</f>
        <v>7.5</v>
      </c>
    </row>
    <row r="410" spans="1:18">
      <c r="A410" s="2">
        <v>409</v>
      </c>
      <c r="B410" s="4">
        <f t="shared" si="31"/>
        <v>2023</v>
      </c>
      <c r="C410" s="4">
        <f t="shared" si="32"/>
        <v>12</v>
      </c>
      <c r="D410" s="4">
        <f t="shared" si="33"/>
        <v>18</v>
      </c>
      <c r="E410" s="4" t="str">
        <f t="shared" si="34"/>
        <v>Monday</v>
      </c>
      <c r="F410" s="4" t="str">
        <f t="shared" si="35"/>
        <v>December</v>
      </c>
      <c r="G410" s="3">
        <v>45278</v>
      </c>
      <c r="H410" s="4" t="s">
        <v>441</v>
      </c>
      <c r="I410" s="4" t="s">
        <v>22</v>
      </c>
      <c r="J410" s="4" t="str" cm="1">
        <f t="array" ref="J410">_xlfn.IFS(K410&lt;30,"Young Adult",K410&lt;50,"Adult",K410&gt;=50,"Senior")</f>
        <v>Young Adult</v>
      </c>
      <c r="K410" s="4">
        <v>21</v>
      </c>
      <c r="L410" s="4" t="s">
        <v>26</v>
      </c>
      <c r="M410" s="4">
        <v>3</v>
      </c>
      <c r="N410" s="16">
        <v>300</v>
      </c>
      <c r="O410" s="17">
        <f>M410*N410</f>
        <v>900</v>
      </c>
      <c r="P410" s="13">
        <f>$O410*$U$4</f>
        <v>13.5</v>
      </c>
      <c r="Q410" s="13">
        <f>$O410*$U$5</f>
        <v>18</v>
      </c>
      <c r="R410" s="13" cm="1">
        <f t="array" ref="R410">_xlfn.IFS(B410=2023,O410*$U$4,B410=2024,O410*$U$5)</f>
        <v>13.5</v>
      </c>
    </row>
    <row r="411" spans="1:18">
      <c r="A411" s="2">
        <v>410</v>
      </c>
      <c r="B411" s="4">
        <f t="shared" si="31"/>
        <v>2023</v>
      </c>
      <c r="C411" s="4">
        <f t="shared" si="32"/>
        <v>11</v>
      </c>
      <c r="D411" s="4">
        <f t="shared" si="33"/>
        <v>21</v>
      </c>
      <c r="E411" s="4" t="str">
        <f t="shared" si="34"/>
        <v>Tuesday</v>
      </c>
      <c r="F411" s="4" t="str">
        <f t="shared" si="35"/>
        <v>November</v>
      </c>
      <c r="G411" s="3">
        <v>45251</v>
      </c>
      <c r="H411" s="4" t="s">
        <v>442</v>
      </c>
      <c r="I411" s="4" t="s">
        <v>22</v>
      </c>
      <c r="J411" s="4" t="str" cm="1">
        <f t="array" ref="J411">_xlfn.IFS(K411&lt;30,"Young Adult",K411&lt;50,"Adult",K411&gt;=50,"Senior")</f>
        <v>Young Adult</v>
      </c>
      <c r="K411" s="4">
        <v>29</v>
      </c>
      <c r="L411" s="4" t="s">
        <v>23</v>
      </c>
      <c r="M411" s="4">
        <v>2</v>
      </c>
      <c r="N411" s="16">
        <v>50</v>
      </c>
      <c r="O411" s="17">
        <f>M411*N411</f>
        <v>100</v>
      </c>
      <c r="P411" s="13">
        <f>$O411*$U$4</f>
        <v>1.5</v>
      </c>
      <c r="Q411" s="13">
        <f>$O411*$U$5</f>
        <v>2</v>
      </c>
      <c r="R411" s="13" cm="1">
        <f t="array" ref="R411">_xlfn.IFS(B411=2023,O411*$U$4,B411=2024,O411*$U$5)</f>
        <v>1.5</v>
      </c>
    </row>
    <row r="412" spans="1:18">
      <c r="A412" s="2">
        <v>411</v>
      </c>
      <c r="B412" s="4">
        <f t="shared" si="31"/>
        <v>2023</v>
      </c>
      <c r="C412" s="4">
        <f t="shared" si="32"/>
        <v>5</v>
      </c>
      <c r="D412" s="4">
        <f t="shared" si="33"/>
        <v>16</v>
      </c>
      <c r="E412" s="4" t="str">
        <f t="shared" si="34"/>
        <v>Tuesday</v>
      </c>
      <c r="F412" s="4" t="str">
        <f t="shared" si="35"/>
        <v>May</v>
      </c>
      <c r="G412" s="3">
        <v>45062</v>
      </c>
      <c r="H412" s="4" t="s">
        <v>443</v>
      </c>
      <c r="I412" s="4" t="s">
        <v>19</v>
      </c>
      <c r="J412" s="4" t="str" cm="1">
        <f t="array" ref="J412">_xlfn.IFS(K412&lt;30,"Young Adult",K412&lt;50,"Adult",K412&gt;=50,"Senior")</f>
        <v>Senior</v>
      </c>
      <c r="K412" s="4">
        <v>62</v>
      </c>
      <c r="L412" s="4" t="s">
        <v>26</v>
      </c>
      <c r="M412" s="4">
        <v>4</v>
      </c>
      <c r="N412" s="16">
        <v>50</v>
      </c>
      <c r="O412" s="17">
        <f>M412*N412</f>
        <v>200</v>
      </c>
      <c r="P412" s="13">
        <f>$O412*$U$4</f>
        <v>3</v>
      </c>
      <c r="Q412" s="13">
        <f>$O412*$U$5</f>
        <v>4</v>
      </c>
      <c r="R412" s="13" cm="1">
        <f t="array" ref="R412">_xlfn.IFS(B412=2023,O412*$U$4,B412=2024,O412*$U$5)</f>
        <v>3</v>
      </c>
    </row>
    <row r="413" spans="1:18">
      <c r="A413" s="2">
        <v>412</v>
      </c>
      <c r="B413" s="4">
        <f t="shared" si="31"/>
        <v>2023</v>
      </c>
      <c r="C413" s="4">
        <f t="shared" si="32"/>
        <v>9</v>
      </c>
      <c r="D413" s="4">
        <f t="shared" si="33"/>
        <v>16</v>
      </c>
      <c r="E413" s="4" t="str">
        <f t="shared" si="34"/>
        <v>Saturday</v>
      </c>
      <c r="F413" s="4" t="str">
        <f t="shared" si="35"/>
        <v>September</v>
      </c>
      <c r="G413" s="3">
        <v>45185</v>
      </c>
      <c r="H413" s="4" t="s">
        <v>444</v>
      </c>
      <c r="I413" s="4" t="s">
        <v>22</v>
      </c>
      <c r="J413" s="4" t="str" cm="1">
        <f t="array" ref="J413">_xlfn.IFS(K413&lt;30,"Young Adult",K413&lt;50,"Adult",K413&gt;=50,"Senior")</f>
        <v>Young Adult</v>
      </c>
      <c r="K413" s="4">
        <v>19</v>
      </c>
      <c r="L413" s="4" t="s">
        <v>26</v>
      </c>
      <c r="M413" s="4">
        <v>4</v>
      </c>
      <c r="N413" s="16">
        <v>500</v>
      </c>
      <c r="O413" s="17">
        <f>M413*N413</f>
        <v>2000</v>
      </c>
      <c r="P413" s="13">
        <f>$O413*$U$4</f>
        <v>30</v>
      </c>
      <c r="Q413" s="13">
        <f>$O413*$U$5</f>
        <v>40</v>
      </c>
      <c r="R413" s="13" cm="1">
        <f t="array" ref="R413">_xlfn.IFS(B413=2023,O413*$U$4,B413=2024,O413*$U$5)</f>
        <v>30</v>
      </c>
    </row>
    <row r="414" spans="1:18">
      <c r="A414" s="2">
        <v>413</v>
      </c>
      <c r="B414" s="4">
        <f t="shared" si="31"/>
        <v>2023</v>
      </c>
      <c r="C414" s="4">
        <f t="shared" si="32"/>
        <v>9</v>
      </c>
      <c r="D414" s="4">
        <f t="shared" si="33"/>
        <v>8</v>
      </c>
      <c r="E414" s="4" t="str">
        <f t="shared" si="34"/>
        <v>Friday</v>
      </c>
      <c r="F414" s="4" t="str">
        <f t="shared" si="35"/>
        <v>September</v>
      </c>
      <c r="G414" s="3">
        <v>45177</v>
      </c>
      <c r="H414" s="4" t="s">
        <v>445</v>
      </c>
      <c r="I414" s="4" t="s">
        <v>22</v>
      </c>
      <c r="J414" s="4" t="str" cm="1">
        <f t="array" ref="J414">_xlfn.IFS(K414&lt;30,"Young Adult",K414&lt;50,"Adult",K414&gt;=50,"Senior")</f>
        <v>Adult</v>
      </c>
      <c r="K414" s="4">
        <v>44</v>
      </c>
      <c r="L414" s="4" t="s">
        <v>20</v>
      </c>
      <c r="M414" s="4">
        <v>3</v>
      </c>
      <c r="N414" s="16">
        <v>25</v>
      </c>
      <c r="O414" s="17">
        <f>M414*N414</f>
        <v>75</v>
      </c>
      <c r="P414" s="13">
        <f>$O414*$U$4</f>
        <v>1.125</v>
      </c>
      <c r="Q414" s="13">
        <f>$O414*$U$5</f>
        <v>1.5</v>
      </c>
      <c r="R414" s="13" cm="1">
        <f t="array" ref="R414">_xlfn.IFS(B414=2023,O414*$U$4,B414=2024,O414*$U$5)</f>
        <v>1.125</v>
      </c>
    </row>
    <row r="415" spans="1:18">
      <c r="A415" s="2">
        <v>414</v>
      </c>
      <c r="B415" s="4">
        <f t="shared" si="31"/>
        <v>2023</v>
      </c>
      <c r="C415" s="4">
        <f t="shared" si="32"/>
        <v>5</v>
      </c>
      <c r="D415" s="4">
        <f t="shared" si="33"/>
        <v>9</v>
      </c>
      <c r="E415" s="4" t="str">
        <f t="shared" si="34"/>
        <v>Tuesday</v>
      </c>
      <c r="F415" s="4" t="str">
        <f t="shared" si="35"/>
        <v>May</v>
      </c>
      <c r="G415" s="3">
        <v>45055</v>
      </c>
      <c r="H415" s="4" t="s">
        <v>446</v>
      </c>
      <c r="I415" s="4" t="s">
        <v>19</v>
      </c>
      <c r="J415" s="4" t="str" cm="1">
        <f t="array" ref="J415">_xlfn.IFS(K415&lt;30,"Young Adult",K415&lt;50,"Adult",K415&gt;=50,"Senior")</f>
        <v>Adult</v>
      </c>
      <c r="K415" s="4">
        <v>48</v>
      </c>
      <c r="L415" s="4" t="s">
        <v>20</v>
      </c>
      <c r="M415" s="4">
        <v>4</v>
      </c>
      <c r="N415" s="16">
        <v>25</v>
      </c>
      <c r="O415" s="17">
        <f>M415*N415</f>
        <v>100</v>
      </c>
      <c r="P415" s="13">
        <f>$O415*$U$4</f>
        <v>1.5</v>
      </c>
      <c r="Q415" s="13">
        <f>$O415*$U$5</f>
        <v>2</v>
      </c>
      <c r="R415" s="13" cm="1">
        <f t="array" ref="R415">_xlfn.IFS(B415=2023,O415*$U$4,B415=2024,O415*$U$5)</f>
        <v>1.5</v>
      </c>
    </row>
    <row r="416" spans="1:18">
      <c r="A416" s="2">
        <v>415</v>
      </c>
      <c r="B416" s="4">
        <f t="shared" si="31"/>
        <v>2023</v>
      </c>
      <c r="C416" s="4">
        <f t="shared" si="32"/>
        <v>1</v>
      </c>
      <c r="D416" s="4">
        <f t="shared" si="33"/>
        <v>27</v>
      </c>
      <c r="E416" s="4" t="str">
        <f t="shared" si="34"/>
        <v>Friday</v>
      </c>
      <c r="F416" s="4" t="str">
        <f t="shared" si="35"/>
        <v>January</v>
      </c>
      <c r="G416" s="3">
        <v>44953</v>
      </c>
      <c r="H416" s="4" t="s">
        <v>447</v>
      </c>
      <c r="I416" s="4" t="s">
        <v>19</v>
      </c>
      <c r="J416" s="4" t="str" cm="1">
        <f t="array" ref="J416">_xlfn.IFS(K416&lt;30,"Young Adult",K416&lt;50,"Adult",K416&gt;=50,"Senior")</f>
        <v>Senior</v>
      </c>
      <c r="K416" s="4">
        <v>53</v>
      </c>
      <c r="L416" s="4" t="s">
        <v>23</v>
      </c>
      <c r="M416" s="4">
        <v>2</v>
      </c>
      <c r="N416" s="16">
        <v>30</v>
      </c>
      <c r="O416" s="17">
        <f>M416*N416</f>
        <v>60</v>
      </c>
      <c r="P416" s="13">
        <f>$O416*$U$4</f>
        <v>0.89999999999999991</v>
      </c>
      <c r="Q416" s="13">
        <f>$O416*$U$5</f>
        <v>1.2</v>
      </c>
      <c r="R416" s="13" cm="1">
        <f t="array" ref="R416">_xlfn.IFS(B416=2023,O416*$U$4,B416=2024,O416*$U$5)</f>
        <v>0.89999999999999991</v>
      </c>
    </row>
    <row r="417" spans="1:18">
      <c r="A417" s="2">
        <v>416</v>
      </c>
      <c r="B417" s="4">
        <f t="shared" si="31"/>
        <v>2023</v>
      </c>
      <c r="C417" s="4">
        <f t="shared" si="32"/>
        <v>2</v>
      </c>
      <c r="D417" s="4">
        <f t="shared" si="33"/>
        <v>17</v>
      </c>
      <c r="E417" s="4" t="str">
        <f t="shared" si="34"/>
        <v>Friday</v>
      </c>
      <c r="F417" s="4" t="str">
        <f t="shared" si="35"/>
        <v>February</v>
      </c>
      <c r="G417" s="3">
        <v>44974</v>
      </c>
      <c r="H417" s="4" t="s">
        <v>448</v>
      </c>
      <c r="I417" s="4" t="s">
        <v>19</v>
      </c>
      <c r="J417" s="4" t="str" cm="1">
        <f t="array" ref="J417">_xlfn.IFS(K417&lt;30,"Young Adult",K417&lt;50,"Adult",K417&gt;=50,"Senior")</f>
        <v>Senior</v>
      </c>
      <c r="K417" s="4">
        <v>53</v>
      </c>
      <c r="L417" s="4" t="s">
        <v>26</v>
      </c>
      <c r="M417" s="4">
        <v>4</v>
      </c>
      <c r="N417" s="16">
        <v>500</v>
      </c>
      <c r="O417" s="17">
        <f>M417*N417</f>
        <v>2000</v>
      </c>
      <c r="P417" s="13">
        <f>$O417*$U$4</f>
        <v>30</v>
      </c>
      <c r="Q417" s="13">
        <f>$O417*$U$5</f>
        <v>40</v>
      </c>
      <c r="R417" s="13" cm="1">
        <f t="array" ref="R417">_xlfn.IFS(B417=2023,O417*$U$4,B417=2024,O417*$U$5)</f>
        <v>30</v>
      </c>
    </row>
    <row r="418" spans="1:18">
      <c r="A418" s="2">
        <v>417</v>
      </c>
      <c r="B418" s="4">
        <f t="shared" si="31"/>
        <v>2023</v>
      </c>
      <c r="C418" s="4">
        <f t="shared" si="32"/>
        <v>11</v>
      </c>
      <c r="D418" s="4">
        <f t="shared" si="33"/>
        <v>21</v>
      </c>
      <c r="E418" s="4" t="str">
        <f t="shared" si="34"/>
        <v>Tuesday</v>
      </c>
      <c r="F418" s="4" t="str">
        <f t="shared" si="35"/>
        <v>November</v>
      </c>
      <c r="G418" s="3">
        <v>45251</v>
      </c>
      <c r="H418" s="4" t="s">
        <v>449</v>
      </c>
      <c r="I418" s="4" t="s">
        <v>19</v>
      </c>
      <c r="J418" s="4" t="str" cm="1">
        <f t="array" ref="J418">_xlfn.IFS(K418&lt;30,"Young Adult",K418&lt;50,"Adult",K418&gt;=50,"Senior")</f>
        <v>Adult</v>
      </c>
      <c r="K418" s="4">
        <v>43</v>
      </c>
      <c r="L418" s="4" t="s">
        <v>26</v>
      </c>
      <c r="M418" s="4">
        <v>3</v>
      </c>
      <c r="N418" s="16">
        <v>300</v>
      </c>
      <c r="O418" s="17">
        <f>M418*N418</f>
        <v>900</v>
      </c>
      <c r="P418" s="13">
        <f>$O418*$U$4</f>
        <v>13.5</v>
      </c>
      <c r="Q418" s="13">
        <f>$O418*$U$5</f>
        <v>18</v>
      </c>
      <c r="R418" s="13" cm="1">
        <f t="array" ref="R418">_xlfn.IFS(B418=2023,O418*$U$4,B418=2024,O418*$U$5)</f>
        <v>13.5</v>
      </c>
    </row>
    <row r="419" spans="1:18">
      <c r="A419" s="2">
        <v>418</v>
      </c>
      <c r="B419" s="4">
        <f t="shared" si="31"/>
        <v>2023</v>
      </c>
      <c r="C419" s="4">
        <f t="shared" si="32"/>
        <v>8</v>
      </c>
      <c r="D419" s="4">
        <f t="shared" si="33"/>
        <v>5</v>
      </c>
      <c r="E419" s="4" t="str">
        <f t="shared" si="34"/>
        <v>Saturday</v>
      </c>
      <c r="F419" s="4" t="str">
        <f t="shared" si="35"/>
        <v>August</v>
      </c>
      <c r="G419" s="3">
        <v>45143</v>
      </c>
      <c r="H419" s="4" t="s">
        <v>450</v>
      </c>
      <c r="I419" s="4" t="s">
        <v>22</v>
      </c>
      <c r="J419" s="4" t="str" cm="1">
        <f t="array" ref="J419">_xlfn.IFS(K419&lt;30,"Young Adult",K419&lt;50,"Adult",K419&gt;=50,"Senior")</f>
        <v>Senior</v>
      </c>
      <c r="K419" s="4">
        <v>60</v>
      </c>
      <c r="L419" s="4" t="s">
        <v>26</v>
      </c>
      <c r="M419" s="4">
        <v>2</v>
      </c>
      <c r="N419" s="16">
        <v>500</v>
      </c>
      <c r="O419" s="17">
        <f>M419*N419</f>
        <v>1000</v>
      </c>
      <c r="P419" s="13">
        <f>$O419*$U$4</f>
        <v>15</v>
      </c>
      <c r="Q419" s="13">
        <f>$O419*$U$5</f>
        <v>20</v>
      </c>
      <c r="R419" s="13" cm="1">
        <f t="array" ref="R419">_xlfn.IFS(B419=2023,O419*$U$4,B419=2024,O419*$U$5)</f>
        <v>15</v>
      </c>
    </row>
    <row r="420" spans="1:18">
      <c r="A420" s="2">
        <v>419</v>
      </c>
      <c r="B420" s="4">
        <f t="shared" si="31"/>
        <v>2023</v>
      </c>
      <c r="C420" s="4">
        <f t="shared" si="32"/>
        <v>5</v>
      </c>
      <c r="D420" s="4">
        <f t="shared" si="33"/>
        <v>22</v>
      </c>
      <c r="E420" s="4" t="str">
        <f t="shared" si="34"/>
        <v>Monday</v>
      </c>
      <c r="F420" s="4" t="str">
        <f t="shared" si="35"/>
        <v>May</v>
      </c>
      <c r="G420" s="3">
        <v>45068</v>
      </c>
      <c r="H420" s="4" t="s">
        <v>451</v>
      </c>
      <c r="I420" s="4" t="s">
        <v>22</v>
      </c>
      <c r="J420" s="4" t="str" cm="1">
        <f t="array" ref="J420">_xlfn.IFS(K420&lt;30,"Young Adult",K420&lt;50,"Adult",K420&gt;=50,"Senior")</f>
        <v>Adult</v>
      </c>
      <c r="K420" s="4">
        <v>44</v>
      </c>
      <c r="L420" s="4" t="s">
        <v>23</v>
      </c>
      <c r="M420" s="4">
        <v>3</v>
      </c>
      <c r="N420" s="16">
        <v>30</v>
      </c>
      <c r="O420" s="17">
        <f>M420*N420</f>
        <v>90</v>
      </c>
      <c r="P420" s="13">
        <f>$O420*$U$4</f>
        <v>1.3499999999999999</v>
      </c>
      <c r="Q420" s="13">
        <f>$O420*$U$5</f>
        <v>1.8</v>
      </c>
      <c r="R420" s="13" cm="1">
        <f t="array" ref="R420">_xlfn.IFS(B420=2023,O420*$U$4,B420=2024,O420*$U$5)</f>
        <v>1.3499999999999999</v>
      </c>
    </row>
    <row r="421" spans="1:18">
      <c r="A421" s="2">
        <v>420</v>
      </c>
      <c r="B421" s="4">
        <f t="shared" si="31"/>
        <v>2023</v>
      </c>
      <c r="C421" s="4">
        <f t="shared" si="32"/>
        <v>1</v>
      </c>
      <c r="D421" s="4">
        <f t="shared" si="33"/>
        <v>23</v>
      </c>
      <c r="E421" s="4" t="str">
        <f t="shared" si="34"/>
        <v>Monday</v>
      </c>
      <c r="F421" s="4" t="str">
        <f t="shared" si="35"/>
        <v>January</v>
      </c>
      <c r="G421" s="3">
        <v>44949</v>
      </c>
      <c r="H421" s="4" t="s">
        <v>452</v>
      </c>
      <c r="I421" s="4" t="s">
        <v>22</v>
      </c>
      <c r="J421" s="4" t="str" cm="1">
        <f t="array" ref="J421">_xlfn.IFS(K421&lt;30,"Young Adult",K421&lt;50,"Adult",K421&gt;=50,"Senior")</f>
        <v>Young Adult</v>
      </c>
      <c r="K421" s="4">
        <v>22</v>
      </c>
      <c r="L421" s="4" t="s">
        <v>23</v>
      </c>
      <c r="M421" s="4">
        <v>4</v>
      </c>
      <c r="N421" s="16">
        <v>500</v>
      </c>
      <c r="O421" s="17">
        <f>M421*N421</f>
        <v>2000</v>
      </c>
      <c r="P421" s="13">
        <f>$O421*$U$4</f>
        <v>30</v>
      </c>
      <c r="Q421" s="13">
        <f>$O421*$U$5</f>
        <v>40</v>
      </c>
      <c r="R421" s="13" cm="1">
        <f t="array" ref="R421">_xlfn.IFS(B421=2023,O421*$U$4,B421=2024,O421*$U$5)</f>
        <v>30</v>
      </c>
    </row>
    <row r="422" spans="1:18">
      <c r="A422" s="2">
        <v>421</v>
      </c>
      <c r="B422" s="4">
        <f t="shared" si="31"/>
        <v>2023</v>
      </c>
      <c r="C422" s="4">
        <f t="shared" si="32"/>
        <v>1</v>
      </c>
      <c r="D422" s="4">
        <f t="shared" si="33"/>
        <v>2</v>
      </c>
      <c r="E422" s="4" t="str">
        <f t="shared" si="34"/>
        <v>Monday</v>
      </c>
      <c r="F422" s="4" t="str">
        <f t="shared" si="35"/>
        <v>January</v>
      </c>
      <c r="G422" s="3">
        <v>44928</v>
      </c>
      <c r="H422" s="4" t="s">
        <v>453</v>
      </c>
      <c r="I422" s="4" t="s">
        <v>22</v>
      </c>
      <c r="J422" s="4" t="str" cm="1">
        <f t="array" ref="J422">_xlfn.IFS(K422&lt;30,"Young Adult",K422&lt;50,"Adult",K422&gt;=50,"Senior")</f>
        <v>Adult</v>
      </c>
      <c r="K422" s="4">
        <v>37</v>
      </c>
      <c r="L422" s="4" t="s">
        <v>23</v>
      </c>
      <c r="M422" s="4">
        <v>3</v>
      </c>
      <c r="N422" s="16">
        <v>500</v>
      </c>
      <c r="O422" s="17">
        <f>M422*N422</f>
        <v>1500</v>
      </c>
      <c r="P422" s="13">
        <f>$O422*$U$4</f>
        <v>22.5</v>
      </c>
      <c r="Q422" s="13">
        <f>$O422*$U$5</f>
        <v>30</v>
      </c>
      <c r="R422" s="13" cm="1">
        <f t="array" ref="R422">_xlfn.IFS(B422=2023,O422*$U$4,B422=2024,O422*$U$5)</f>
        <v>22.5</v>
      </c>
    </row>
    <row r="423" spans="1:18">
      <c r="A423" s="2">
        <v>422</v>
      </c>
      <c r="B423" s="4">
        <f t="shared" si="31"/>
        <v>2023</v>
      </c>
      <c r="C423" s="4">
        <f t="shared" si="32"/>
        <v>6</v>
      </c>
      <c r="D423" s="4">
        <f t="shared" si="33"/>
        <v>20</v>
      </c>
      <c r="E423" s="4" t="str">
        <f t="shared" si="34"/>
        <v>Tuesday</v>
      </c>
      <c r="F423" s="4" t="str">
        <f t="shared" si="35"/>
        <v>June</v>
      </c>
      <c r="G423" s="3">
        <v>45097</v>
      </c>
      <c r="H423" s="4" t="s">
        <v>454</v>
      </c>
      <c r="I423" s="4" t="s">
        <v>22</v>
      </c>
      <c r="J423" s="4" t="str" cm="1">
        <f t="array" ref="J423">_xlfn.IFS(K423&lt;30,"Young Adult",K423&lt;50,"Adult",K423&gt;=50,"Senior")</f>
        <v>Young Adult</v>
      </c>
      <c r="K423" s="4">
        <v>28</v>
      </c>
      <c r="L423" s="4" t="s">
        <v>23</v>
      </c>
      <c r="M423" s="4">
        <v>3</v>
      </c>
      <c r="N423" s="16">
        <v>30</v>
      </c>
      <c r="O423" s="17">
        <f>M423*N423</f>
        <v>90</v>
      </c>
      <c r="P423" s="13">
        <f>$O423*$U$4</f>
        <v>1.3499999999999999</v>
      </c>
      <c r="Q423" s="13">
        <f>$O423*$U$5</f>
        <v>1.8</v>
      </c>
      <c r="R423" s="13" cm="1">
        <f t="array" ref="R423">_xlfn.IFS(B423=2023,O423*$U$4,B423=2024,O423*$U$5)</f>
        <v>1.3499999999999999</v>
      </c>
    </row>
    <row r="424" spans="1:18">
      <c r="A424" s="2">
        <v>423</v>
      </c>
      <c r="B424" s="4">
        <f t="shared" si="31"/>
        <v>2023</v>
      </c>
      <c r="C424" s="4">
        <f t="shared" si="32"/>
        <v>3</v>
      </c>
      <c r="D424" s="4">
        <f t="shared" si="33"/>
        <v>8</v>
      </c>
      <c r="E424" s="4" t="str">
        <f t="shared" si="34"/>
        <v>Wednesday</v>
      </c>
      <c r="F424" s="4" t="str">
        <f t="shared" si="35"/>
        <v>March</v>
      </c>
      <c r="G424" s="3">
        <v>44993</v>
      </c>
      <c r="H424" s="4" t="s">
        <v>455</v>
      </c>
      <c r="I424" s="4" t="s">
        <v>22</v>
      </c>
      <c r="J424" s="4" t="str" cm="1">
        <f t="array" ref="J424">_xlfn.IFS(K424&lt;30,"Young Adult",K424&lt;50,"Adult",K424&gt;=50,"Senior")</f>
        <v>Young Adult</v>
      </c>
      <c r="K424" s="4">
        <v>27</v>
      </c>
      <c r="L424" s="4" t="s">
        <v>23</v>
      </c>
      <c r="M424" s="4">
        <v>1</v>
      </c>
      <c r="N424" s="16">
        <v>25</v>
      </c>
      <c r="O424" s="17">
        <f>M424*N424</f>
        <v>25</v>
      </c>
      <c r="P424" s="13">
        <f>$O424*$U$4</f>
        <v>0.375</v>
      </c>
      <c r="Q424" s="13">
        <f>$O424*$U$5</f>
        <v>0.5</v>
      </c>
      <c r="R424" s="13" cm="1">
        <f t="array" ref="R424">_xlfn.IFS(B424=2023,O424*$U$4,B424=2024,O424*$U$5)</f>
        <v>0.375</v>
      </c>
    </row>
    <row r="425" spans="1:18">
      <c r="A425" s="2">
        <v>424</v>
      </c>
      <c r="B425" s="4">
        <f t="shared" si="31"/>
        <v>2023</v>
      </c>
      <c r="C425" s="4">
        <f t="shared" si="32"/>
        <v>11</v>
      </c>
      <c r="D425" s="4">
        <f t="shared" si="33"/>
        <v>23</v>
      </c>
      <c r="E425" s="4" t="str">
        <f t="shared" si="34"/>
        <v>Thursday</v>
      </c>
      <c r="F425" s="4" t="str">
        <f t="shared" si="35"/>
        <v>November</v>
      </c>
      <c r="G425" s="3">
        <v>45253</v>
      </c>
      <c r="H425" s="4" t="s">
        <v>456</v>
      </c>
      <c r="I425" s="4" t="s">
        <v>19</v>
      </c>
      <c r="J425" s="4" t="str" cm="1">
        <f t="array" ref="J425">_xlfn.IFS(K425&lt;30,"Young Adult",K425&lt;50,"Adult",K425&gt;=50,"Senior")</f>
        <v>Senior</v>
      </c>
      <c r="K425" s="4">
        <v>57</v>
      </c>
      <c r="L425" s="4" t="s">
        <v>20</v>
      </c>
      <c r="M425" s="4">
        <v>4</v>
      </c>
      <c r="N425" s="16">
        <v>300</v>
      </c>
      <c r="O425" s="17">
        <f>M425*N425</f>
        <v>1200</v>
      </c>
      <c r="P425" s="13">
        <f>$O425*$U$4</f>
        <v>18</v>
      </c>
      <c r="Q425" s="13">
        <f>$O425*$U$5</f>
        <v>24</v>
      </c>
      <c r="R425" s="13" cm="1">
        <f t="array" ref="R425">_xlfn.IFS(B425=2023,O425*$U$4,B425=2024,O425*$U$5)</f>
        <v>18</v>
      </c>
    </row>
    <row r="426" spans="1:18">
      <c r="A426" s="2">
        <v>425</v>
      </c>
      <c r="B426" s="4">
        <f t="shared" si="31"/>
        <v>2023</v>
      </c>
      <c r="C426" s="4">
        <f t="shared" si="32"/>
        <v>5</v>
      </c>
      <c r="D426" s="4">
        <f t="shared" si="33"/>
        <v>15</v>
      </c>
      <c r="E426" s="4" t="str">
        <f t="shared" si="34"/>
        <v>Monday</v>
      </c>
      <c r="F426" s="4" t="str">
        <f t="shared" si="35"/>
        <v>May</v>
      </c>
      <c r="G426" s="3">
        <v>45061</v>
      </c>
      <c r="H426" s="4" t="s">
        <v>457</v>
      </c>
      <c r="I426" s="4" t="s">
        <v>22</v>
      </c>
      <c r="J426" s="4" t="str" cm="1">
        <f t="array" ref="J426">_xlfn.IFS(K426&lt;30,"Young Adult",K426&lt;50,"Adult",K426&gt;=50,"Senior")</f>
        <v>Senior</v>
      </c>
      <c r="K426" s="4">
        <v>55</v>
      </c>
      <c r="L426" s="4" t="s">
        <v>26</v>
      </c>
      <c r="M426" s="4">
        <v>4</v>
      </c>
      <c r="N426" s="16">
        <v>30</v>
      </c>
      <c r="O426" s="17">
        <f>M426*N426</f>
        <v>120</v>
      </c>
      <c r="P426" s="13">
        <f>$O426*$U$4</f>
        <v>1.7999999999999998</v>
      </c>
      <c r="Q426" s="13">
        <f>$O426*$U$5</f>
        <v>2.4</v>
      </c>
      <c r="R426" s="13" cm="1">
        <f t="array" ref="R426">_xlfn.IFS(B426=2023,O426*$U$4,B426=2024,O426*$U$5)</f>
        <v>1.7999999999999998</v>
      </c>
    </row>
    <row r="427" spans="1:18">
      <c r="A427" s="2">
        <v>426</v>
      </c>
      <c r="B427" s="4">
        <f t="shared" si="31"/>
        <v>2023</v>
      </c>
      <c r="C427" s="4">
        <f t="shared" si="32"/>
        <v>3</v>
      </c>
      <c r="D427" s="4">
        <f t="shared" si="33"/>
        <v>24</v>
      </c>
      <c r="E427" s="4" t="str">
        <f t="shared" si="34"/>
        <v>Friday</v>
      </c>
      <c r="F427" s="4" t="str">
        <f t="shared" si="35"/>
        <v>March</v>
      </c>
      <c r="G427" s="3">
        <v>45009</v>
      </c>
      <c r="H427" s="4" t="s">
        <v>458</v>
      </c>
      <c r="I427" s="4" t="s">
        <v>19</v>
      </c>
      <c r="J427" s="4" t="str" cm="1">
        <f t="array" ref="J427">_xlfn.IFS(K427&lt;30,"Young Adult",K427&lt;50,"Adult",K427&gt;=50,"Senior")</f>
        <v>Young Adult</v>
      </c>
      <c r="K427" s="4">
        <v>23</v>
      </c>
      <c r="L427" s="4" t="s">
        <v>26</v>
      </c>
      <c r="M427" s="4">
        <v>3</v>
      </c>
      <c r="N427" s="16">
        <v>50</v>
      </c>
      <c r="O427" s="17">
        <f>M427*N427</f>
        <v>150</v>
      </c>
      <c r="P427" s="13">
        <f>$O427*$U$4</f>
        <v>2.25</v>
      </c>
      <c r="Q427" s="13">
        <f>$O427*$U$5</f>
        <v>3</v>
      </c>
      <c r="R427" s="13" cm="1">
        <f t="array" ref="R427">_xlfn.IFS(B427=2023,O427*$U$4,B427=2024,O427*$U$5)</f>
        <v>2.25</v>
      </c>
    </row>
    <row r="428" spans="1:18">
      <c r="A428" s="2">
        <v>427</v>
      </c>
      <c r="B428" s="4">
        <f t="shared" si="31"/>
        <v>2023</v>
      </c>
      <c r="C428" s="4">
        <f t="shared" si="32"/>
        <v>8</v>
      </c>
      <c r="D428" s="4">
        <f t="shared" si="33"/>
        <v>15</v>
      </c>
      <c r="E428" s="4" t="str">
        <f t="shared" si="34"/>
        <v>Tuesday</v>
      </c>
      <c r="F428" s="4" t="str">
        <f t="shared" si="35"/>
        <v>August</v>
      </c>
      <c r="G428" s="3">
        <v>45153</v>
      </c>
      <c r="H428" s="4" t="s">
        <v>459</v>
      </c>
      <c r="I428" s="4" t="s">
        <v>19</v>
      </c>
      <c r="J428" s="4" t="str" cm="1">
        <f t="array" ref="J428">_xlfn.IFS(K428&lt;30,"Young Adult",K428&lt;50,"Adult",K428&gt;=50,"Senior")</f>
        <v>Young Adult</v>
      </c>
      <c r="K428" s="4">
        <v>25</v>
      </c>
      <c r="L428" s="4" t="s">
        <v>26</v>
      </c>
      <c r="M428" s="4">
        <v>1</v>
      </c>
      <c r="N428" s="16">
        <v>25</v>
      </c>
      <c r="O428" s="17">
        <f>M428*N428</f>
        <v>25</v>
      </c>
      <c r="P428" s="13">
        <f>$O428*$U$4</f>
        <v>0.375</v>
      </c>
      <c r="Q428" s="13">
        <f>$O428*$U$5</f>
        <v>0.5</v>
      </c>
      <c r="R428" s="13" cm="1">
        <f t="array" ref="R428">_xlfn.IFS(B428=2023,O428*$U$4,B428=2024,O428*$U$5)</f>
        <v>0.375</v>
      </c>
    </row>
    <row r="429" spans="1:18">
      <c r="A429" s="2">
        <v>428</v>
      </c>
      <c r="B429" s="4">
        <f t="shared" si="31"/>
        <v>2023</v>
      </c>
      <c r="C429" s="4">
        <f t="shared" si="32"/>
        <v>10</v>
      </c>
      <c r="D429" s="4">
        <f t="shared" si="33"/>
        <v>10</v>
      </c>
      <c r="E429" s="4" t="str">
        <f t="shared" si="34"/>
        <v>Tuesday</v>
      </c>
      <c r="F429" s="4" t="str">
        <f t="shared" si="35"/>
        <v>October</v>
      </c>
      <c r="G429" s="3">
        <v>45209</v>
      </c>
      <c r="H429" s="4" t="s">
        <v>460</v>
      </c>
      <c r="I429" s="4" t="s">
        <v>22</v>
      </c>
      <c r="J429" s="4" t="str" cm="1">
        <f t="array" ref="J429">_xlfn.IFS(K429&lt;30,"Young Adult",K429&lt;50,"Adult",K429&gt;=50,"Senior")</f>
        <v>Adult</v>
      </c>
      <c r="K429" s="4">
        <v>40</v>
      </c>
      <c r="L429" s="4" t="s">
        <v>26</v>
      </c>
      <c r="M429" s="4">
        <v>4</v>
      </c>
      <c r="N429" s="16">
        <v>50</v>
      </c>
      <c r="O429" s="17">
        <f>M429*N429</f>
        <v>200</v>
      </c>
      <c r="P429" s="13">
        <f>$O429*$U$4</f>
        <v>3</v>
      </c>
      <c r="Q429" s="13">
        <f>$O429*$U$5</f>
        <v>4</v>
      </c>
      <c r="R429" s="13" cm="1">
        <f t="array" ref="R429">_xlfn.IFS(B429=2023,O429*$U$4,B429=2024,O429*$U$5)</f>
        <v>3</v>
      </c>
    </row>
    <row r="430" spans="1:18">
      <c r="A430" s="2">
        <v>429</v>
      </c>
      <c r="B430" s="4">
        <f t="shared" si="31"/>
        <v>2023</v>
      </c>
      <c r="C430" s="4">
        <f t="shared" si="32"/>
        <v>12</v>
      </c>
      <c r="D430" s="4">
        <f t="shared" si="33"/>
        <v>28</v>
      </c>
      <c r="E430" s="4" t="str">
        <f t="shared" si="34"/>
        <v>Thursday</v>
      </c>
      <c r="F430" s="4" t="str">
        <f t="shared" si="35"/>
        <v>December</v>
      </c>
      <c r="G430" s="3">
        <v>45288</v>
      </c>
      <c r="H430" s="4" t="s">
        <v>461</v>
      </c>
      <c r="I430" s="4" t="s">
        <v>19</v>
      </c>
      <c r="J430" s="4" t="str" cm="1">
        <f t="array" ref="J430">_xlfn.IFS(K430&lt;30,"Young Adult",K430&lt;50,"Adult",K430&gt;=50,"Senior")</f>
        <v>Senior</v>
      </c>
      <c r="K430" s="4">
        <v>64</v>
      </c>
      <c r="L430" s="4" t="s">
        <v>26</v>
      </c>
      <c r="M430" s="4">
        <v>2</v>
      </c>
      <c r="N430" s="16">
        <v>25</v>
      </c>
      <c r="O430" s="17">
        <f>M430*N430</f>
        <v>50</v>
      </c>
      <c r="P430" s="13">
        <f>$O430*$U$4</f>
        <v>0.75</v>
      </c>
      <c r="Q430" s="13">
        <f>$O430*$U$5</f>
        <v>1</v>
      </c>
      <c r="R430" s="13" cm="1">
        <f t="array" ref="R430">_xlfn.IFS(B430=2023,O430*$U$4,B430=2024,O430*$U$5)</f>
        <v>0.75</v>
      </c>
    </row>
    <row r="431" spans="1:18">
      <c r="A431" s="2">
        <v>430</v>
      </c>
      <c r="B431" s="4">
        <f t="shared" si="31"/>
        <v>2023</v>
      </c>
      <c r="C431" s="4">
        <f t="shared" si="32"/>
        <v>8</v>
      </c>
      <c r="D431" s="4">
        <f t="shared" si="33"/>
        <v>7</v>
      </c>
      <c r="E431" s="4" t="str">
        <f t="shared" si="34"/>
        <v>Monday</v>
      </c>
      <c r="F431" s="4" t="str">
        <f t="shared" si="35"/>
        <v>August</v>
      </c>
      <c r="G431" s="3">
        <v>45145</v>
      </c>
      <c r="H431" s="4" t="s">
        <v>462</v>
      </c>
      <c r="I431" s="4" t="s">
        <v>22</v>
      </c>
      <c r="J431" s="4" t="str" cm="1">
        <f t="array" ref="J431">_xlfn.IFS(K431&lt;30,"Young Adult",K431&lt;50,"Adult",K431&gt;=50,"Senior")</f>
        <v>Adult</v>
      </c>
      <c r="K431" s="4">
        <v>43</v>
      </c>
      <c r="L431" s="4" t="s">
        <v>26</v>
      </c>
      <c r="M431" s="4">
        <v>3</v>
      </c>
      <c r="N431" s="16">
        <v>300</v>
      </c>
      <c r="O431" s="17">
        <f>M431*N431</f>
        <v>900</v>
      </c>
      <c r="P431" s="13">
        <f>$O431*$U$4</f>
        <v>13.5</v>
      </c>
      <c r="Q431" s="13">
        <f>$O431*$U$5</f>
        <v>18</v>
      </c>
      <c r="R431" s="13" cm="1">
        <f t="array" ref="R431">_xlfn.IFS(B431=2023,O431*$U$4,B431=2024,O431*$U$5)</f>
        <v>13.5</v>
      </c>
    </row>
    <row r="432" spans="1:18">
      <c r="A432" s="2">
        <v>431</v>
      </c>
      <c r="B432" s="4">
        <f t="shared" si="31"/>
        <v>2023</v>
      </c>
      <c r="C432" s="4">
        <f t="shared" si="32"/>
        <v>10</v>
      </c>
      <c r="D432" s="4">
        <f t="shared" si="33"/>
        <v>15</v>
      </c>
      <c r="E432" s="4" t="str">
        <f t="shared" si="34"/>
        <v>Sunday</v>
      </c>
      <c r="F432" s="4" t="str">
        <f t="shared" si="35"/>
        <v>October</v>
      </c>
      <c r="G432" s="3">
        <v>45214</v>
      </c>
      <c r="H432" s="4" t="s">
        <v>463</v>
      </c>
      <c r="I432" s="4" t="s">
        <v>19</v>
      </c>
      <c r="J432" s="4" t="str" cm="1">
        <f t="array" ref="J432">_xlfn.IFS(K432&lt;30,"Young Adult",K432&lt;50,"Adult",K432&gt;=50,"Senior")</f>
        <v>Senior</v>
      </c>
      <c r="K432" s="4">
        <v>63</v>
      </c>
      <c r="L432" s="4" t="s">
        <v>26</v>
      </c>
      <c r="M432" s="4">
        <v>4</v>
      </c>
      <c r="N432" s="16">
        <v>300</v>
      </c>
      <c r="O432" s="17">
        <f>M432*N432</f>
        <v>1200</v>
      </c>
      <c r="P432" s="13">
        <f>$O432*$U$4</f>
        <v>18</v>
      </c>
      <c r="Q432" s="13">
        <f>$O432*$U$5</f>
        <v>24</v>
      </c>
      <c r="R432" s="13" cm="1">
        <f t="array" ref="R432">_xlfn.IFS(B432=2023,O432*$U$4,B432=2024,O432*$U$5)</f>
        <v>18</v>
      </c>
    </row>
    <row r="433" spans="1:18">
      <c r="A433" s="2">
        <v>432</v>
      </c>
      <c r="B433" s="4">
        <f t="shared" si="31"/>
        <v>2023</v>
      </c>
      <c r="C433" s="4">
        <f t="shared" si="32"/>
        <v>1</v>
      </c>
      <c r="D433" s="4">
        <f t="shared" si="33"/>
        <v>5</v>
      </c>
      <c r="E433" s="4" t="str">
        <f t="shared" si="34"/>
        <v>Thursday</v>
      </c>
      <c r="F433" s="4" t="str">
        <f t="shared" si="35"/>
        <v>January</v>
      </c>
      <c r="G433" s="3">
        <v>44931</v>
      </c>
      <c r="H433" s="4" t="s">
        <v>464</v>
      </c>
      <c r="I433" s="4" t="s">
        <v>22</v>
      </c>
      <c r="J433" s="4" t="str" cm="1">
        <f t="array" ref="J433">_xlfn.IFS(K433&lt;30,"Young Adult",K433&lt;50,"Adult",K433&gt;=50,"Senior")</f>
        <v>Senior</v>
      </c>
      <c r="K433" s="4">
        <v>60</v>
      </c>
      <c r="L433" s="4" t="s">
        <v>26</v>
      </c>
      <c r="M433" s="4">
        <v>2</v>
      </c>
      <c r="N433" s="16">
        <v>500</v>
      </c>
      <c r="O433" s="17">
        <f>M433*N433</f>
        <v>1000</v>
      </c>
      <c r="P433" s="13">
        <f>$O433*$U$4</f>
        <v>15</v>
      </c>
      <c r="Q433" s="13">
        <f>$O433*$U$5</f>
        <v>20</v>
      </c>
      <c r="R433" s="13" cm="1">
        <f t="array" ref="R433">_xlfn.IFS(B433=2023,O433*$U$4,B433=2024,O433*$U$5)</f>
        <v>15</v>
      </c>
    </row>
    <row r="434" spans="1:18">
      <c r="A434" s="2">
        <v>433</v>
      </c>
      <c r="B434" s="4">
        <f t="shared" si="31"/>
        <v>2023</v>
      </c>
      <c r="C434" s="4">
        <f t="shared" si="32"/>
        <v>2</v>
      </c>
      <c r="D434" s="4">
        <f t="shared" si="33"/>
        <v>27</v>
      </c>
      <c r="E434" s="4" t="str">
        <f t="shared" si="34"/>
        <v>Monday</v>
      </c>
      <c r="F434" s="4" t="str">
        <f t="shared" si="35"/>
        <v>February</v>
      </c>
      <c r="G434" s="3">
        <v>44984</v>
      </c>
      <c r="H434" s="4" t="s">
        <v>465</v>
      </c>
      <c r="I434" s="4" t="s">
        <v>19</v>
      </c>
      <c r="J434" s="4" t="str" cm="1">
        <f t="array" ref="J434">_xlfn.IFS(K434&lt;30,"Young Adult",K434&lt;50,"Adult",K434&gt;=50,"Senior")</f>
        <v>Young Adult</v>
      </c>
      <c r="K434" s="4">
        <v>29</v>
      </c>
      <c r="L434" s="4" t="s">
        <v>20</v>
      </c>
      <c r="M434" s="4">
        <v>4</v>
      </c>
      <c r="N434" s="16">
        <v>50</v>
      </c>
      <c r="O434" s="17">
        <f>M434*N434</f>
        <v>200</v>
      </c>
      <c r="P434" s="13">
        <f>$O434*$U$4</f>
        <v>3</v>
      </c>
      <c r="Q434" s="13">
        <f>$O434*$U$5</f>
        <v>4</v>
      </c>
      <c r="R434" s="13" cm="1">
        <f t="array" ref="R434">_xlfn.IFS(B434=2023,O434*$U$4,B434=2024,O434*$U$5)</f>
        <v>3</v>
      </c>
    </row>
    <row r="435" spans="1:18">
      <c r="A435" s="2">
        <v>434</v>
      </c>
      <c r="B435" s="4">
        <f t="shared" si="31"/>
        <v>2023</v>
      </c>
      <c r="C435" s="4">
        <f t="shared" si="32"/>
        <v>2</v>
      </c>
      <c r="D435" s="4">
        <f t="shared" si="33"/>
        <v>8</v>
      </c>
      <c r="E435" s="4" t="str">
        <f t="shared" si="34"/>
        <v>Wednesday</v>
      </c>
      <c r="F435" s="4" t="str">
        <f t="shared" si="35"/>
        <v>February</v>
      </c>
      <c r="G435" s="3">
        <v>44965</v>
      </c>
      <c r="H435" s="4" t="s">
        <v>466</v>
      </c>
      <c r="I435" s="4" t="s">
        <v>22</v>
      </c>
      <c r="J435" s="4" t="str" cm="1">
        <f t="array" ref="J435">_xlfn.IFS(K435&lt;30,"Young Adult",K435&lt;50,"Adult",K435&gt;=50,"Senior")</f>
        <v>Adult</v>
      </c>
      <c r="K435" s="4">
        <v>43</v>
      </c>
      <c r="L435" s="4" t="s">
        <v>26</v>
      </c>
      <c r="M435" s="4">
        <v>2</v>
      </c>
      <c r="N435" s="16">
        <v>25</v>
      </c>
      <c r="O435" s="17">
        <f>M435*N435</f>
        <v>50</v>
      </c>
      <c r="P435" s="13">
        <f>$O435*$U$4</f>
        <v>0.75</v>
      </c>
      <c r="Q435" s="13">
        <f>$O435*$U$5</f>
        <v>1</v>
      </c>
      <c r="R435" s="13" cm="1">
        <f t="array" ref="R435">_xlfn.IFS(B435=2023,O435*$U$4,B435=2024,O435*$U$5)</f>
        <v>0.75</v>
      </c>
    </row>
    <row r="436" spans="1:18">
      <c r="A436" s="2">
        <v>435</v>
      </c>
      <c r="B436" s="4">
        <f t="shared" si="31"/>
        <v>2023</v>
      </c>
      <c r="C436" s="4">
        <f t="shared" si="32"/>
        <v>12</v>
      </c>
      <c r="D436" s="4">
        <f t="shared" si="33"/>
        <v>20</v>
      </c>
      <c r="E436" s="4" t="str">
        <f t="shared" si="34"/>
        <v>Wednesday</v>
      </c>
      <c r="F436" s="4" t="str">
        <f t="shared" si="35"/>
        <v>December</v>
      </c>
      <c r="G436" s="3">
        <v>45280</v>
      </c>
      <c r="H436" s="4" t="s">
        <v>467</v>
      </c>
      <c r="I436" s="4" t="s">
        <v>22</v>
      </c>
      <c r="J436" s="4" t="str" cm="1">
        <f t="array" ref="J436">_xlfn.IFS(K436&lt;30,"Young Adult",K436&lt;50,"Adult",K436&gt;=50,"Senior")</f>
        <v>Adult</v>
      </c>
      <c r="K436" s="4">
        <v>30</v>
      </c>
      <c r="L436" s="4" t="s">
        <v>20</v>
      </c>
      <c r="M436" s="4">
        <v>3</v>
      </c>
      <c r="N436" s="16">
        <v>300</v>
      </c>
      <c r="O436" s="17">
        <f>M436*N436</f>
        <v>900</v>
      </c>
      <c r="P436" s="13">
        <f>$O436*$U$4</f>
        <v>13.5</v>
      </c>
      <c r="Q436" s="13">
        <f>$O436*$U$5</f>
        <v>18</v>
      </c>
      <c r="R436" s="13" cm="1">
        <f t="array" ref="R436">_xlfn.IFS(B436=2023,O436*$U$4,B436=2024,O436*$U$5)</f>
        <v>13.5</v>
      </c>
    </row>
    <row r="437" spans="1:18">
      <c r="A437" s="2">
        <v>436</v>
      </c>
      <c r="B437" s="4">
        <f t="shared" si="31"/>
        <v>2023</v>
      </c>
      <c r="C437" s="4">
        <f t="shared" si="32"/>
        <v>3</v>
      </c>
      <c r="D437" s="4">
        <f t="shared" si="33"/>
        <v>18</v>
      </c>
      <c r="E437" s="4" t="str">
        <f t="shared" si="34"/>
        <v>Saturday</v>
      </c>
      <c r="F437" s="4" t="str">
        <f t="shared" si="35"/>
        <v>March</v>
      </c>
      <c r="G437" s="3">
        <v>45003</v>
      </c>
      <c r="H437" s="4" t="s">
        <v>468</v>
      </c>
      <c r="I437" s="4" t="s">
        <v>22</v>
      </c>
      <c r="J437" s="4" t="str" cm="1">
        <f t="array" ref="J437">_xlfn.IFS(K437&lt;30,"Young Adult",K437&lt;50,"Adult",K437&gt;=50,"Senior")</f>
        <v>Senior</v>
      </c>
      <c r="K437" s="4">
        <v>57</v>
      </c>
      <c r="L437" s="4" t="s">
        <v>23</v>
      </c>
      <c r="M437" s="4">
        <v>4</v>
      </c>
      <c r="N437" s="16">
        <v>30</v>
      </c>
      <c r="O437" s="17">
        <f>M437*N437</f>
        <v>120</v>
      </c>
      <c r="P437" s="13">
        <f>$O437*$U$4</f>
        <v>1.7999999999999998</v>
      </c>
      <c r="Q437" s="13">
        <f>$O437*$U$5</f>
        <v>2.4</v>
      </c>
      <c r="R437" s="13" cm="1">
        <f t="array" ref="R437">_xlfn.IFS(B437=2023,O437*$U$4,B437=2024,O437*$U$5)</f>
        <v>1.7999999999999998</v>
      </c>
    </row>
    <row r="438" spans="1:18">
      <c r="A438" s="2">
        <v>437</v>
      </c>
      <c r="B438" s="4">
        <f t="shared" si="31"/>
        <v>2023</v>
      </c>
      <c r="C438" s="4">
        <f t="shared" si="32"/>
        <v>10</v>
      </c>
      <c r="D438" s="4">
        <f t="shared" si="33"/>
        <v>7</v>
      </c>
      <c r="E438" s="4" t="str">
        <f t="shared" si="34"/>
        <v>Saturday</v>
      </c>
      <c r="F438" s="4" t="str">
        <f t="shared" si="35"/>
        <v>October</v>
      </c>
      <c r="G438" s="3">
        <v>45206</v>
      </c>
      <c r="H438" s="4" t="s">
        <v>469</v>
      </c>
      <c r="I438" s="4" t="s">
        <v>22</v>
      </c>
      <c r="J438" s="4" t="str" cm="1">
        <f t="array" ref="J438">_xlfn.IFS(K438&lt;30,"Young Adult",K438&lt;50,"Adult",K438&gt;=50,"Senior")</f>
        <v>Adult</v>
      </c>
      <c r="K438" s="4">
        <v>35</v>
      </c>
      <c r="L438" s="4" t="s">
        <v>26</v>
      </c>
      <c r="M438" s="4">
        <v>4</v>
      </c>
      <c r="N438" s="16">
        <v>300</v>
      </c>
      <c r="O438" s="17">
        <f>M438*N438</f>
        <v>1200</v>
      </c>
      <c r="P438" s="13">
        <f>$O438*$U$4</f>
        <v>18</v>
      </c>
      <c r="Q438" s="13">
        <f>$O438*$U$5</f>
        <v>24</v>
      </c>
      <c r="R438" s="13" cm="1">
        <f t="array" ref="R438">_xlfn.IFS(B438=2023,O438*$U$4,B438=2024,O438*$U$5)</f>
        <v>18</v>
      </c>
    </row>
    <row r="439" spans="1:18">
      <c r="A439" s="2">
        <v>438</v>
      </c>
      <c r="B439" s="4">
        <f t="shared" si="31"/>
        <v>2023</v>
      </c>
      <c r="C439" s="4">
        <f t="shared" si="32"/>
        <v>1</v>
      </c>
      <c r="D439" s="4">
        <f t="shared" si="33"/>
        <v>19</v>
      </c>
      <c r="E439" s="4" t="str">
        <f t="shared" si="34"/>
        <v>Thursday</v>
      </c>
      <c r="F439" s="4" t="str">
        <f t="shared" si="35"/>
        <v>January</v>
      </c>
      <c r="G439" s="3">
        <v>44945</v>
      </c>
      <c r="H439" s="4" t="s">
        <v>470</v>
      </c>
      <c r="I439" s="4" t="s">
        <v>22</v>
      </c>
      <c r="J439" s="4" t="str" cm="1">
        <f t="array" ref="J439">_xlfn.IFS(K439&lt;30,"Young Adult",K439&lt;50,"Adult",K439&gt;=50,"Senior")</f>
        <v>Adult</v>
      </c>
      <c r="K439" s="4">
        <v>42</v>
      </c>
      <c r="L439" s="4" t="s">
        <v>23</v>
      </c>
      <c r="M439" s="4">
        <v>1</v>
      </c>
      <c r="N439" s="16">
        <v>30</v>
      </c>
      <c r="O439" s="17">
        <f>M439*N439</f>
        <v>30</v>
      </c>
      <c r="P439" s="13">
        <f>$O439*$U$4</f>
        <v>0.44999999999999996</v>
      </c>
      <c r="Q439" s="13">
        <f>$O439*$U$5</f>
        <v>0.6</v>
      </c>
      <c r="R439" s="13" cm="1">
        <f t="array" ref="R439">_xlfn.IFS(B439=2023,O439*$U$4,B439=2024,O439*$U$5)</f>
        <v>0.44999999999999996</v>
      </c>
    </row>
    <row r="440" spans="1:18">
      <c r="A440" s="2">
        <v>439</v>
      </c>
      <c r="B440" s="4">
        <f t="shared" si="31"/>
        <v>2023</v>
      </c>
      <c r="C440" s="4">
        <f t="shared" si="32"/>
        <v>7</v>
      </c>
      <c r="D440" s="4">
        <f t="shared" si="33"/>
        <v>9</v>
      </c>
      <c r="E440" s="4" t="str">
        <f t="shared" si="34"/>
        <v>Sunday</v>
      </c>
      <c r="F440" s="4" t="str">
        <f t="shared" si="35"/>
        <v>July</v>
      </c>
      <c r="G440" s="3">
        <v>45116</v>
      </c>
      <c r="H440" s="4" t="s">
        <v>471</v>
      </c>
      <c r="I440" s="4" t="s">
        <v>19</v>
      </c>
      <c r="J440" s="4" t="str" cm="1">
        <f t="array" ref="J440">_xlfn.IFS(K440&lt;30,"Young Adult",K440&lt;50,"Adult",K440&gt;=50,"Senior")</f>
        <v>Senior</v>
      </c>
      <c r="K440" s="4">
        <v>50</v>
      </c>
      <c r="L440" s="4" t="s">
        <v>23</v>
      </c>
      <c r="M440" s="4">
        <v>3</v>
      </c>
      <c r="N440" s="16">
        <v>25</v>
      </c>
      <c r="O440" s="17">
        <f>M440*N440</f>
        <v>75</v>
      </c>
      <c r="P440" s="13">
        <f>$O440*$U$4</f>
        <v>1.125</v>
      </c>
      <c r="Q440" s="13">
        <f>$O440*$U$5</f>
        <v>1.5</v>
      </c>
      <c r="R440" s="13" cm="1">
        <f t="array" ref="R440">_xlfn.IFS(B440=2023,O440*$U$4,B440=2024,O440*$U$5)</f>
        <v>1.125</v>
      </c>
    </row>
    <row r="441" spans="1:18">
      <c r="A441" s="2">
        <v>440</v>
      </c>
      <c r="B441" s="4">
        <f t="shared" si="31"/>
        <v>2023</v>
      </c>
      <c r="C441" s="4">
        <f t="shared" si="32"/>
        <v>10</v>
      </c>
      <c r="D441" s="4">
        <f t="shared" si="33"/>
        <v>26</v>
      </c>
      <c r="E441" s="4" t="str">
        <f t="shared" si="34"/>
        <v>Thursday</v>
      </c>
      <c r="F441" s="4" t="str">
        <f t="shared" si="35"/>
        <v>October</v>
      </c>
      <c r="G441" s="3">
        <v>45225</v>
      </c>
      <c r="H441" s="4" t="s">
        <v>472</v>
      </c>
      <c r="I441" s="4" t="s">
        <v>19</v>
      </c>
      <c r="J441" s="4" t="str" cm="1">
        <f t="array" ref="J441">_xlfn.IFS(K441&lt;30,"Young Adult",K441&lt;50,"Adult",K441&gt;=50,"Senior")</f>
        <v>Senior</v>
      </c>
      <c r="K441" s="4">
        <v>64</v>
      </c>
      <c r="L441" s="4" t="s">
        <v>23</v>
      </c>
      <c r="M441" s="4">
        <v>2</v>
      </c>
      <c r="N441" s="16">
        <v>300</v>
      </c>
      <c r="O441" s="17">
        <f>M441*N441</f>
        <v>600</v>
      </c>
      <c r="P441" s="13">
        <f>$O441*$U$4</f>
        <v>9</v>
      </c>
      <c r="Q441" s="13">
        <f>$O441*$U$5</f>
        <v>12</v>
      </c>
      <c r="R441" s="13" cm="1">
        <f t="array" ref="R441">_xlfn.IFS(B441=2023,O441*$U$4,B441=2024,O441*$U$5)</f>
        <v>9</v>
      </c>
    </row>
    <row r="442" spans="1:18">
      <c r="A442" s="2">
        <v>441</v>
      </c>
      <c r="B442" s="4">
        <f t="shared" si="31"/>
        <v>2023</v>
      </c>
      <c r="C442" s="4">
        <f t="shared" si="32"/>
        <v>10</v>
      </c>
      <c r="D442" s="4">
        <f t="shared" si="33"/>
        <v>10</v>
      </c>
      <c r="E442" s="4" t="str">
        <f t="shared" si="34"/>
        <v>Tuesday</v>
      </c>
      <c r="F442" s="4" t="str">
        <f t="shared" si="35"/>
        <v>October</v>
      </c>
      <c r="G442" s="3">
        <v>45209</v>
      </c>
      <c r="H442" s="4" t="s">
        <v>473</v>
      </c>
      <c r="I442" s="4" t="s">
        <v>19</v>
      </c>
      <c r="J442" s="4" t="str" cm="1">
        <f t="array" ref="J442">_xlfn.IFS(K442&lt;30,"Young Adult",K442&lt;50,"Adult",K442&gt;=50,"Senior")</f>
        <v>Senior</v>
      </c>
      <c r="K442" s="4">
        <v>57</v>
      </c>
      <c r="L442" s="4" t="s">
        <v>20</v>
      </c>
      <c r="M442" s="4">
        <v>4</v>
      </c>
      <c r="N442" s="16">
        <v>300</v>
      </c>
      <c r="O442" s="17">
        <f>M442*N442</f>
        <v>1200</v>
      </c>
      <c r="P442" s="13">
        <f>$O442*$U$4</f>
        <v>18</v>
      </c>
      <c r="Q442" s="13">
        <f>$O442*$U$5</f>
        <v>24</v>
      </c>
      <c r="R442" s="13" cm="1">
        <f t="array" ref="R442">_xlfn.IFS(B442=2023,O442*$U$4,B442=2024,O442*$U$5)</f>
        <v>18</v>
      </c>
    </row>
    <row r="443" spans="1:18">
      <c r="A443" s="2">
        <v>442</v>
      </c>
      <c r="B443" s="4">
        <f t="shared" si="31"/>
        <v>2023</v>
      </c>
      <c r="C443" s="4">
        <f t="shared" si="32"/>
        <v>3</v>
      </c>
      <c r="D443" s="4">
        <f t="shared" si="33"/>
        <v>17</v>
      </c>
      <c r="E443" s="4" t="str">
        <f t="shared" si="34"/>
        <v>Friday</v>
      </c>
      <c r="F443" s="4" t="str">
        <f t="shared" si="35"/>
        <v>March</v>
      </c>
      <c r="G443" s="3">
        <v>45002</v>
      </c>
      <c r="H443" s="4" t="s">
        <v>474</v>
      </c>
      <c r="I443" s="4" t="s">
        <v>22</v>
      </c>
      <c r="J443" s="4" t="str" cm="1">
        <f t="array" ref="J443">_xlfn.IFS(K443&lt;30,"Young Adult",K443&lt;50,"Adult",K443&gt;=50,"Senior")</f>
        <v>Senior</v>
      </c>
      <c r="K443" s="4">
        <v>60</v>
      </c>
      <c r="L443" s="4" t="s">
        <v>23</v>
      </c>
      <c r="M443" s="4">
        <v>4</v>
      </c>
      <c r="N443" s="16">
        <v>25</v>
      </c>
      <c r="O443" s="17">
        <f>M443*N443</f>
        <v>100</v>
      </c>
      <c r="P443" s="13">
        <f>$O443*$U$4</f>
        <v>1.5</v>
      </c>
      <c r="Q443" s="13">
        <f>$O443*$U$5</f>
        <v>2</v>
      </c>
      <c r="R443" s="13" cm="1">
        <f t="array" ref="R443">_xlfn.IFS(B443=2023,O443*$U$4,B443=2024,O443*$U$5)</f>
        <v>1.5</v>
      </c>
    </row>
    <row r="444" spans="1:18">
      <c r="A444" s="2">
        <v>443</v>
      </c>
      <c r="B444" s="4">
        <f t="shared" si="31"/>
        <v>2023</v>
      </c>
      <c r="C444" s="4">
        <f t="shared" si="32"/>
        <v>8</v>
      </c>
      <c r="D444" s="4">
        <f t="shared" si="33"/>
        <v>9</v>
      </c>
      <c r="E444" s="4" t="str">
        <f t="shared" si="34"/>
        <v>Wednesday</v>
      </c>
      <c r="F444" s="4" t="str">
        <f t="shared" si="35"/>
        <v>August</v>
      </c>
      <c r="G444" s="3">
        <v>45147</v>
      </c>
      <c r="H444" s="4" t="s">
        <v>475</v>
      </c>
      <c r="I444" s="4" t="s">
        <v>19</v>
      </c>
      <c r="J444" s="4" t="str" cm="1">
        <f t="array" ref="J444">_xlfn.IFS(K444&lt;30,"Young Adult",K444&lt;50,"Adult",K444&gt;=50,"Senior")</f>
        <v>Young Adult</v>
      </c>
      <c r="K444" s="4">
        <v>29</v>
      </c>
      <c r="L444" s="4" t="s">
        <v>23</v>
      </c>
      <c r="M444" s="4">
        <v>2</v>
      </c>
      <c r="N444" s="16">
        <v>300</v>
      </c>
      <c r="O444" s="17">
        <f>M444*N444</f>
        <v>600</v>
      </c>
      <c r="P444" s="13">
        <f>$O444*$U$4</f>
        <v>9</v>
      </c>
      <c r="Q444" s="13">
        <f>$O444*$U$5</f>
        <v>12</v>
      </c>
      <c r="R444" s="13" cm="1">
        <f t="array" ref="R444">_xlfn.IFS(B444=2023,O444*$U$4,B444=2024,O444*$U$5)</f>
        <v>9</v>
      </c>
    </row>
    <row r="445" spans="1:18">
      <c r="A445" s="2">
        <v>444</v>
      </c>
      <c r="B445" s="4">
        <f t="shared" si="31"/>
        <v>2023</v>
      </c>
      <c r="C445" s="4">
        <f t="shared" si="32"/>
        <v>3</v>
      </c>
      <c r="D445" s="4">
        <f t="shared" si="33"/>
        <v>7</v>
      </c>
      <c r="E445" s="4" t="str">
        <f t="shared" si="34"/>
        <v>Tuesday</v>
      </c>
      <c r="F445" s="4" t="str">
        <f t="shared" si="35"/>
        <v>March</v>
      </c>
      <c r="G445" s="3">
        <v>44992</v>
      </c>
      <c r="H445" s="4" t="s">
        <v>476</v>
      </c>
      <c r="I445" s="4" t="s">
        <v>22</v>
      </c>
      <c r="J445" s="4" t="str" cm="1">
        <f t="array" ref="J445">_xlfn.IFS(K445&lt;30,"Young Adult",K445&lt;50,"Adult",K445&gt;=50,"Senior")</f>
        <v>Senior</v>
      </c>
      <c r="K445" s="4">
        <v>61</v>
      </c>
      <c r="L445" s="4" t="s">
        <v>23</v>
      </c>
      <c r="M445" s="4">
        <v>3</v>
      </c>
      <c r="N445" s="16">
        <v>30</v>
      </c>
      <c r="O445" s="17">
        <f>M445*N445</f>
        <v>90</v>
      </c>
      <c r="P445" s="13">
        <f>$O445*$U$4</f>
        <v>1.3499999999999999</v>
      </c>
      <c r="Q445" s="13">
        <f>$O445*$U$5</f>
        <v>1.8</v>
      </c>
      <c r="R445" s="13" cm="1">
        <f t="array" ref="R445">_xlfn.IFS(B445=2023,O445*$U$4,B445=2024,O445*$U$5)</f>
        <v>1.3499999999999999</v>
      </c>
    </row>
    <row r="446" spans="1:18">
      <c r="A446" s="2">
        <v>445</v>
      </c>
      <c r="B446" s="4">
        <f t="shared" si="31"/>
        <v>2023</v>
      </c>
      <c r="C446" s="4">
        <f t="shared" si="32"/>
        <v>1</v>
      </c>
      <c r="D446" s="4">
        <f t="shared" si="33"/>
        <v>22</v>
      </c>
      <c r="E446" s="4" t="str">
        <f t="shared" si="34"/>
        <v>Sunday</v>
      </c>
      <c r="F446" s="4" t="str">
        <f t="shared" si="35"/>
        <v>January</v>
      </c>
      <c r="G446" s="3">
        <v>44948</v>
      </c>
      <c r="H446" s="4" t="s">
        <v>477</v>
      </c>
      <c r="I446" s="4" t="s">
        <v>22</v>
      </c>
      <c r="J446" s="4" t="str" cm="1">
        <f t="array" ref="J446">_xlfn.IFS(K446&lt;30,"Young Adult",K446&lt;50,"Adult",K446&gt;=50,"Senior")</f>
        <v>Senior</v>
      </c>
      <c r="K446" s="4">
        <v>53</v>
      </c>
      <c r="L446" s="4" t="s">
        <v>26</v>
      </c>
      <c r="M446" s="4">
        <v>1</v>
      </c>
      <c r="N446" s="16">
        <v>300</v>
      </c>
      <c r="O446" s="17">
        <f>M446*N446</f>
        <v>300</v>
      </c>
      <c r="P446" s="13">
        <f>$O446*$U$4</f>
        <v>4.5</v>
      </c>
      <c r="Q446" s="13">
        <f>$O446*$U$5</f>
        <v>6</v>
      </c>
      <c r="R446" s="13" cm="1">
        <f t="array" ref="R446">_xlfn.IFS(B446=2023,O446*$U$4,B446=2024,O446*$U$5)</f>
        <v>4.5</v>
      </c>
    </row>
    <row r="447" spans="1:18">
      <c r="A447" s="2">
        <v>446</v>
      </c>
      <c r="B447" s="4">
        <f t="shared" si="31"/>
        <v>2023</v>
      </c>
      <c r="C447" s="4">
        <f t="shared" si="32"/>
        <v>6</v>
      </c>
      <c r="D447" s="4">
        <f t="shared" si="33"/>
        <v>7</v>
      </c>
      <c r="E447" s="4" t="str">
        <f t="shared" si="34"/>
        <v>Wednesday</v>
      </c>
      <c r="F447" s="4" t="str">
        <f t="shared" si="35"/>
        <v>June</v>
      </c>
      <c r="G447" s="3">
        <v>45084</v>
      </c>
      <c r="H447" s="4" t="s">
        <v>478</v>
      </c>
      <c r="I447" s="4" t="s">
        <v>19</v>
      </c>
      <c r="J447" s="4" t="str" cm="1">
        <f t="array" ref="J447">_xlfn.IFS(K447&lt;30,"Young Adult",K447&lt;50,"Adult",K447&gt;=50,"Senior")</f>
        <v>Young Adult</v>
      </c>
      <c r="K447" s="4">
        <v>21</v>
      </c>
      <c r="L447" s="4" t="s">
        <v>26</v>
      </c>
      <c r="M447" s="4">
        <v>1</v>
      </c>
      <c r="N447" s="16">
        <v>50</v>
      </c>
      <c r="O447" s="17">
        <f>M447*N447</f>
        <v>50</v>
      </c>
      <c r="P447" s="13">
        <f>$O447*$U$4</f>
        <v>0.75</v>
      </c>
      <c r="Q447" s="13">
        <f>$O447*$U$5</f>
        <v>1</v>
      </c>
      <c r="R447" s="13" cm="1">
        <f t="array" ref="R447">_xlfn.IFS(B447=2023,O447*$U$4,B447=2024,O447*$U$5)</f>
        <v>0.75</v>
      </c>
    </row>
    <row r="448" spans="1:18">
      <c r="A448" s="2">
        <v>447</v>
      </c>
      <c r="B448" s="4">
        <f t="shared" si="31"/>
        <v>2023</v>
      </c>
      <c r="C448" s="4">
        <f t="shared" si="32"/>
        <v>7</v>
      </c>
      <c r="D448" s="4">
        <f t="shared" si="33"/>
        <v>6</v>
      </c>
      <c r="E448" s="4" t="str">
        <f t="shared" si="34"/>
        <v>Thursday</v>
      </c>
      <c r="F448" s="4" t="str">
        <f t="shared" si="35"/>
        <v>July</v>
      </c>
      <c r="G448" s="3">
        <v>45113</v>
      </c>
      <c r="H448" s="4" t="s">
        <v>479</v>
      </c>
      <c r="I448" s="4" t="s">
        <v>19</v>
      </c>
      <c r="J448" s="4" t="str" cm="1">
        <f t="array" ref="J448">_xlfn.IFS(K448&lt;30,"Young Adult",K448&lt;50,"Adult",K448&gt;=50,"Senior")</f>
        <v>Young Adult</v>
      </c>
      <c r="K448" s="4">
        <v>22</v>
      </c>
      <c r="L448" s="4" t="s">
        <v>20</v>
      </c>
      <c r="M448" s="4">
        <v>4</v>
      </c>
      <c r="N448" s="16">
        <v>500</v>
      </c>
      <c r="O448" s="17">
        <f>M448*N448</f>
        <v>2000</v>
      </c>
      <c r="P448" s="13">
        <f>$O448*$U$4</f>
        <v>30</v>
      </c>
      <c r="Q448" s="13">
        <f>$O448*$U$5</f>
        <v>40</v>
      </c>
      <c r="R448" s="13" cm="1">
        <f t="array" ref="R448">_xlfn.IFS(B448=2023,O448*$U$4,B448=2024,O448*$U$5)</f>
        <v>30</v>
      </c>
    </row>
    <row r="449" spans="1:18">
      <c r="A449" s="2">
        <v>448</v>
      </c>
      <c r="B449" s="4">
        <f t="shared" si="31"/>
        <v>2023</v>
      </c>
      <c r="C449" s="4">
        <f t="shared" si="32"/>
        <v>1</v>
      </c>
      <c r="D449" s="4">
        <f t="shared" si="33"/>
        <v>21</v>
      </c>
      <c r="E449" s="4" t="str">
        <f t="shared" si="34"/>
        <v>Saturday</v>
      </c>
      <c r="F449" s="4" t="str">
        <f t="shared" si="35"/>
        <v>January</v>
      </c>
      <c r="G449" s="3">
        <v>44947</v>
      </c>
      <c r="H449" s="4" t="s">
        <v>480</v>
      </c>
      <c r="I449" s="4" t="s">
        <v>22</v>
      </c>
      <c r="J449" s="4" t="str" cm="1">
        <f t="array" ref="J449">_xlfn.IFS(K449&lt;30,"Young Adult",K449&lt;50,"Adult",K449&gt;=50,"Senior")</f>
        <v>Senior</v>
      </c>
      <c r="K449" s="4">
        <v>54</v>
      </c>
      <c r="L449" s="4" t="s">
        <v>20</v>
      </c>
      <c r="M449" s="4">
        <v>2</v>
      </c>
      <c r="N449" s="16">
        <v>30</v>
      </c>
      <c r="O449" s="17">
        <f>M449*N449</f>
        <v>60</v>
      </c>
      <c r="P449" s="13">
        <f>$O449*$U$4</f>
        <v>0.89999999999999991</v>
      </c>
      <c r="Q449" s="13">
        <f>$O449*$U$5</f>
        <v>1.2</v>
      </c>
      <c r="R449" s="13" cm="1">
        <f t="array" ref="R449">_xlfn.IFS(B449=2023,O449*$U$4,B449=2024,O449*$U$5)</f>
        <v>0.89999999999999991</v>
      </c>
    </row>
    <row r="450" spans="1:18">
      <c r="A450" s="2">
        <v>449</v>
      </c>
      <c r="B450" s="4">
        <f t="shared" si="31"/>
        <v>2023</v>
      </c>
      <c r="C450" s="4">
        <f t="shared" si="32"/>
        <v>7</v>
      </c>
      <c r="D450" s="4">
        <f t="shared" si="33"/>
        <v>3</v>
      </c>
      <c r="E450" s="4" t="str">
        <f t="shared" si="34"/>
        <v>Monday</v>
      </c>
      <c r="F450" s="4" t="str">
        <f t="shared" si="35"/>
        <v>July</v>
      </c>
      <c r="G450" s="3">
        <v>45110</v>
      </c>
      <c r="H450" s="4" t="s">
        <v>481</v>
      </c>
      <c r="I450" s="4" t="s">
        <v>19</v>
      </c>
      <c r="J450" s="4" t="str" cm="1">
        <f t="array" ref="J450">_xlfn.IFS(K450&lt;30,"Young Adult",K450&lt;50,"Adult",K450&gt;=50,"Senior")</f>
        <v>Young Adult</v>
      </c>
      <c r="K450" s="4">
        <v>25</v>
      </c>
      <c r="L450" s="4" t="s">
        <v>26</v>
      </c>
      <c r="M450" s="4">
        <v>4</v>
      </c>
      <c r="N450" s="16">
        <v>50</v>
      </c>
      <c r="O450" s="17">
        <f>M450*N450</f>
        <v>200</v>
      </c>
      <c r="P450" s="13">
        <f>$O450*$U$4</f>
        <v>3</v>
      </c>
      <c r="Q450" s="13">
        <f>$O450*$U$5</f>
        <v>4</v>
      </c>
      <c r="R450" s="13" cm="1">
        <f t="array" ref="R450">_xlfn.IFS(B450=2023,O450*$U$4,B450=2024,O450*$U$5)</f>
        <v>3</v>
      </c>
    </row>
    <row r="451" spans="1:18">
      <c r="A451" s="2">
        <v>450</v>
      </c>
      <c r="B451" s="4">
        <f t="shared" ref="B451:B514" si="36">YEAR(G451)</f>
        <v>2023</v>
      </c>
      <c r="C451" s="4">
        <f t="shared" ref="C451:C514" si="37">MONTH(G451)</f>
        <v>4</v>
      </c>
      <c r="D451" s="4">
        <f t="shared" ref="D451:D514" si="38">DAY(G451)</f>
        <v>18</v>
      </c>
      <c r="E451" s="4" t="str">
        <f t="shared" ref="E451:E514" si="39">TEXT(G451,"dddd")</f>
        <v>Tuesday</v>
      </c>
      <c r="F451" s="4" t="str">
        <f t="shared" ref="F451:F514" si="40">TEXT(G451,"mmmm")</f>
        <v>April</v>
      </c>
      <c r="G451" s="3">
        <v>45034</v>
      </c>
      <c r="H451" s="4" t="s">
        <v>482</v>
      </c>
      <c r="I451" s="4" t="s">
        <v>22</v>
      </c>
      <c r="J451" s="4" t="str" cm="1">
        <f t="array" ref="J451">_xlfn.IFS(K451&lt;30,"Young Adult",K451&lt;50,"Adult",K451&gt;=50,"Senior")</f>
        <v>Senior</v>
      </c>
      <c r="K451" s="4">
        <v>59</v>
      </c>
      <c r="L451" s="4" t="s">
        <v>20</v>
      </c>
      <c r="M451" s="4">
        <v>2</v>
      </c>
      <c r="N451" s="16">
        <v>25</v>
      </c>
      <c r="O451" s="17">
        <f>M451*N451</f>
        <v>50</v>
      </c>
      <c r="P451" s="13">
        <f>$O451*$U$4</f>
        <v>0.75</v>
      </c>
      <c r="Q451" s="13">
        <f>$O451*$U$5</f>
        <v>1</v>
      </c>
      <c r="R451" s="13" cm="1">
        <f t="array" ref="R451">_xlfn.IFS(B451=2023,O451*$U$4,B451=2024,O451*$U$5)</f>
        <v>0.75</v>
      </c>
    </row>
    <row r="452" spans="1:18">
      <c r="A452" s="2">
        <v>451</v>
      </c>
      <c r="B452" s="4">
        <f t="shared" si="36"/>
        <v>2023</v>
      </c>
      <c r="C452" s="4">
        <f t="shared" si="37"/>
        <v>12</v>
      </c>
      <c r="D452" s="4">
        <f t="shared" si="38"/>
        <v>16</v>
      </c>
      <c r="E452" s="4" t="str">
        <f t="shared" si="39"/>
        <v>Saturday</v>
      </c>
      <c r="F452" s="4" t="str">
        <f t="shared" si="40"/>
        <v>December</v>
      </c>
      <c r="G452" s="3">
        <v>45276</v>
      </c>
      <c r="H452" s="4" t="s">
        <v>483</v>
      </c>
      <c r="I452" s="4" t="s">
        <v>22</v>
      </c>
      <c r="J452" s="4" t="str" cm="1">
        <f t="array" ref="J452">_xlfn.IFS(K452&lt;30,"Young Adult",K452&lt;50,"Adult",K452&gt;=50,"Senior")</f>
        <v>Adult</v>
      </c>
      <c r="K452" s="4">
        <v>45</v>
      </c>
      <c r="L452" s="4" t="s">
        <v>26</v>
      </c>
      <c r="M452" s="4">
        <v>1</v>
      </c>
      <c r="N452" s="16">
        <v>30</v>
      </c>
      <c r="O452" s="17">
        <f>M452*N452</f>
        <v>30</v>
      </c>
      <c r="P452" s="13">
        <f>$O452*$U$4</f>
        <v>0.44999999999999996</v>
      </c>
      <c r="Q452" s="13">
        <f>$O452*$U$5</f>
        <v>0.6</v>
      </c>
      <c r="R452" s="13" cm="1">
        <f t="array" ref="R452">_xlfn.IFS(B452=2023,O452*$U$4,B452=2024,O452*$U$5)</f>
        <v>0.44999999999999996</v>
      </c>
    </row>
    <row r="453" spans="1:18">
      <c r="A453" s="2">
        <v>452</v>
      </c>
      <c r="B453" s="4">
        <f t="shared" si="36"/>
        <v>2023</v>
      </c>
      <c r="C453" s="4">
        <f t="shared" si="37"/>
        <v>5</v>
      </c>
      <c r="D453" s="4">
        <f t="shared" si="38"/>
        <v>8</v>
      </c>
      <c r="E453" s="4" t="str">
        <f t="shared" si="39"/>
        <v>Monday</v>
      </c>
      <c r="F453" s="4" t="str">
        <f t="shared" si="40"/>
        <v>May</v>
      </c>
      <c r="G453" s="3">
        <v>45054</v>
      </c>
      <c r="H453" s="4" t="s">
        <v>484</v>
      </c>
      <c r="I453" s="4" t="s">
        <v>22</v>
      </c>
      <c r="J453" s="4" t="str" cm="1">
        <f t="array" ref="J453">_xlfn.IFS(K453&lt;30,"Young Adult",K453&lt;50,"Adult",K453&gt;=50,"Senior")</f>
        <v>Adult</v>
      </c>
      <c r="K453" s="4">
        <v>48</v>
      </c>
      <c r="L453" s="4" t="s">
        <v>23</v>
      </c>
      <c r="M453" s="4">
        <v>3</v>
      </c>
      <c r="N453" s="16">
        <v>500</v>
      </c>
      <c r="O453" s="17">
        <f>M453*N453</f>
        <v>1500</v>
      </c>
      <c r="P453" s="13">
        <f>$O453*$U$4</f>
        <v>22.5</v>
      </c>
      <c r="Q453" s="13">
        <f>$O453*$U$5</f>
        <v>30</v>
      </c>
      <c r="R453" s="13" cm="1">
        <f t="array" ref="R453">_xlfn.IFS(B453=2023,O453*$U$4,B453=2024,O453*$U$5)</f>
        <v>22.5</v>
      </c>
    </row>
    <row r="454" spans="1:18">
      <c r="A454" s="2">
        <v>453</v>
      </c>
      <c r="B454" s="4">
        <f t="shared" si="36"/>
        <v>2023</v>
      </c>
      <c r="C454" s="4">
        <f t="shared" si="37"/>
        <v>12</v>
      </c>
      <c r="D454" s="4">
        <f t="shared" si="38"/>
        <v>8</v>
      </c>
      <c r="E454" s="4" t="str">
        <f t="shared" si="39"/>
        <v>Friday</v>
      </c>
      <c r="F454" s="4" t="str">
        <f t="shared" si="40"/>
        <v>December</v>
      </c>
      <c r="G454" s="3">
        <v>45268</v>
      </c>
      <c r="H454" s="4" t="s">
        <v>485</v>
      </c>
      <c r="I454" s="4" t="s">
        <v>22</v>
      </c>
      <c r="J454" s="4" t="str" cm="1">
        <f t="array" ref="J454">_xlfn.IFS(K454&lt;30,"Young Adult",K454&lt;50,"Adult",K454&gt;=50,"Senior")</f>
        <v>Young Adult</v>
      </c>
      <c r="K454" s="4">
        <v>26</v>
      </c>
      <c r="L454" s="4" t="s">
        <v>23</v>
      </c>
      <c r="M454" s="4">
        <v>2</v>
      </c>
      <c r="N454" s="16">
        <v>500</v>
      </c>
      <c r="O454" s="17">
        <f>M454*N454</f>
        <v>1000</v>
      </c>
      <c r="P454" s="13">
        <f>$O454*$U$4</f>
        <v>15</v>
      </c>
      <c r="Q454" s="13">
        <f>$O454*$U$5</f>
        <v>20</v>
      </c>
      <c r="R454" s="13" cm="1">
        <f t="array" ref="R454">_xlfn.IFS(B454=2023,O454*$U$4,B454=2024,O454*$U$5)</f>
        <v>15</v>
      </c>
    </row>
    <row r="455" spans="1:18">
      <c r="A455" s="2">
        <v>454</v>
      </c>
      <c r="B455" s="4">
        <f t="shared" si="36"/>
        <v>2023</v>
      </c>
      <c r="C455" s="4">
        <f t="shared" si="37"/>
        <v>2</v>
      </c>
      <c r="D455" s="4">
        <f t="shared" si="38"/>
        <v>22</v>
      </c>
      <c r="E455" s="4" t="str">
        <f t="shared" si="39"/>
        <v>Wednesday</v>
      </c>
      <c r="F455" s="4" t="str">
        <f t="shared" si="40"/>
        <v>February</v>
      </c>
      <c r="G455" s="3">
        <v>44979</v>
      </c>
      <c r="H455" s="4" t="s">
        <v>486</v>
      </c>
      <c r="I455" s="4" t="s">
        <v>22</v>
      </c>
      <c r="J455" s="4" t="str" cm="1">
        <f t="array" ref="J455">_xlfn.IFS(K455&lt;30,"Young Adult",K455&lt;50,"Adult",K455&gt;=50,"Senior")</f>
        <v>Adult</v>
      </c>
      <c r="K455" s="4">
        <v>46</v>
      </c>
      <c r="L455" s="4" t="s">
        <v>20</v>
      </c>
      <c r="M455" s="4">
        <v>1</v>
      </c>
      <c r="N455" s="16">
        <v>25</v>
      </c>
      <c r="O455" s="17">
        <f>M455*N455</f>
        <v>25</v>
      </c>
      <c r="P455" s="13">
        <f>$O455*$U$4</f>
        <v>0.375</v>
      </c>
      <c r="Q455" s="13">
        <f>$O455*$U$5</f>
        <v>0.5</v>
      </c>
      <c r="R455" s="13" cm="1">
        <f t="array" ref="R455">_xlfn.IFS(B455=2023,O455*$U$4,B455=2024,O455*$U$5)</f>
        <v>0.375</v>
      </c>
    </row>
    <row r="456" spans="1:18">
      <c r="A456" s="2">
        <v>455</v>
      </c>
      <c r="B456" s="4">
        <f t="shared" si="36"/>
        <v>2023</v>
      </c>
      <c r="C456" s="4">
        <f t="shared" si="37"/>
        <v>7</v>
      </c>
      <c r="D456" s="4">
        <f t="shared" si="38"/>
        <v>1</v>
      </c>
      <c r="E456" s="4" t="str">
        <f t="shared" si="39"/>
        <v>Saturday</v>
      </c>
      <c r="F456" s="4" t="str">
        <f t="shared" si="40"/>
        <v>July</v>
      </c>
      <c r="G456" s="3">
        <v>45108</v>
      </c>
      <c r="H456" s="4" t="s">
        <v>487</v>
      </c>
      <c r="I456" s="4" t="s">
        <v>19</v>
      </c>
      <c r="J456" s="4" t="str" cm="1">
        <f t="array" ref="J456">_xlfn.IFS(K456&lt;30,"Young Adult",K456&lt;50,"Adult",K456&gt;=50,"Senior")</f>
        <v>Adult</v>
      </c>
      <c r="K456" s="4">
        <v>31</v>
      </c>
      <c r="L456" s="4" t="s">
        <v>26</v>
      </c>
      <c r="M456" s="4">
        <v>4</v>
      </c>
      <c r="N456" s="16">
        <v>25</v>
      </c>
      <c r="O456" s="17">
        <f>M456*N456</f>
        <v>100</v>
      </c>
      <c r="P456" s="13">
        <f>$O456*$U$4</f>
        <v>1.5</v>
      </c>
      <c r="Q456" s="13">
        <f>$O456*$U$5</f>
        <v>2</v>
      </c>
      <c r="R456" s="13" cm="1">
        <f t="array" ref="R456">_xlfn.IFS(B456=2023,O456*$U$4,B456=2024,O456*$U$5)</f>
        <v>1.5</v>
      </c>
    </row>
    <row r="457" spans="1:18">
      <c r="A457" s="2">
        <v>456</v>
      </c>
      <c r="B457" s="4">
        <f t="shared" si="36"/>
        <v>2023</v>
      </c>
      <c r="C457" s="4">
        <f t="shared" si="37"/>
        <v>10</v>
      </c>
      <c r="D457" s="4">
        <f t="shared" si="38"/>
        <v>14</v>
      </c>
      <c r="E457" s="4" t="str">
        <f t="shared" si="39"/>
        <v>Saturday</v>
      </c>
      <c r="F457" s="4" t="str">
        <f t="shared" si="40"/>
        <v>October</v>
      </c>
      <c r="G457" s="3">
        <v>45213</v>
      </c>
      <c r="H457" s="4" t="s">
        <v>488</v>
      </c>
      <c r="I457" s="4" t="s">
        <v>19</v>
      </c>
      <c r="J457" s="4" t="str" cm="1">
        <f t="array" ref="J457">_xlfn.IFS(K457&lt;30,"Young Adult",K457&lt;50,"Adult",K457&gt;=50,"Senior")</f>
        <v>Senior</v>
      </c>
      <c r="K457" s="4">
        <v>57</v>
      </c>
      <c r="L457" s="4" t="s">
        <v>26</v>
      </c>
      <c r="M457" s="4">
        <v>2</v>
      </c>
      <c r="N457" s="16">
        <v>30</v>
      </c>
      <c r="O457" s="17">
        <f>M457*N457</f>
        <v>60</v>
      </c>
      <c r="P457" s="13">
        <f>$O457*$U$4</f>
        <v>0.89999999999999991</v>
      </c>
      <c r="Q457" s="13">
        <f>$O457*$U$5</f>
        <v>1.2</v>
      </c>
      <c r="R457" s="13" cm="1">
        <f t="array" ref="R457">_xlfn.IFS(B457=2023,O457*$U$4,B457=2024,O457*$U$5)</f>
        <v>0.89999999999999991</v>
      </c>
    </row>
    <row r="458" spans="1:18">
      <c r="A458" s="2">
        <v>457</v>
      </c>
      <c r="B458" s="4">
        <f t="shared" si="36"/>
        <v>2023</v>
      </c>
      <c r="C458" s="4">
        <f t="shared" si="37"/>
        <v>7</v>
      </c>
      <c r="D458" s="4">
        <f t="shared" si="38"/>
        <v>28</v>
      </c>
      <c r="E458" s="4" t="str">
        <f t="shared" si="39"/>
        <v>Friday</v>
      </c>
      <c r="F458" s="4" t="str">
        <f t="shared" si="40"/>
        <v>July</v>
      </c>
      <c r="G458" s="3">
        <v>45135</v>
      </c>
      <c r="H458" s="4" t="s">
        <v>489</v>
      </c>
      <c r="I458" s="4" t="s">
        <v>22</v>
      </c>
      <c r="J458" s="4" t="str" cm="1">
        <f t="array" ref="J458">_xlfn.IFS(K458&lt;30,"Young Adult",K458&lt;50,"Adult",K458&gt;=50,"Senior")</f>
        <v>Senior</v>
      </c>
      <c r="K458" s="4">
        <v>58</v>
      </c>
      <c r="L458" s="4" t="s">
        <v>20</v>
      </c>
      <c r="M458" s="4">
        <v>3</v>
      </c>
      <c r="N458" s="16">
        <v>300</v>
      </c>
      <c r="O458" s="17">
        <f>M458*N458</f>
        <v>900</v>
      </c>
      <c r="P458" s="13">
        <f>$O458*$U$4</f>
        <v>13.5</v>
      </c>
      <c r="Q458" s="13">
        <f>$O458*$U$5</f>
        <v>18</v>
      </c>
      <c r="R458" s="13" cm="1">
        <f t="array" ref="R458">_xlfn.IFS(B458=2023,O458*$U$4,B458=2024,O458*$U$5)</f>
        <v>13.5</v>
      </c>
    </row>
    <row r="459" spans="1:18">
      <c r="A459" s="2">
        <v>458</v>
      </c>
      <c r="B459" s="4">
        <f t="shared" si="36"/>
        <v>2023</v>
      </c>
      <c r="C459" s="4">
        <f t="shared" si="37"/>
        <v>11</v>
      </c>
      <c r="D459" s="4">
        <f t="shared" si="38"/>
        <v>14</v>
      </c>
      <c r="E459" s="4" t="str">
        <f t="shared" si="39"/>
        <v>Tuesday</v>
      </c>
      <c r="F459" s="4" t="str">
        <f t="shared" si="40"/>
        <v>November</v>
      </c>
      <c r="G459" s="3">
        <v>45244</v>
      </c>
      <c r="H459" s="4" t="s">
        <v>490</v>
      </c>
      <c r="I459" s="4" t="s">
        <v>22</v>
      </c>
      <c r="J459" s="4" t="str" cm="1">
        <f t="array" ref="J459">_xlfn.IFS(K459&lt;30,"Young Adult",K459&lt;50,"Adult",K459&gt;=50,"Senior")</f>
        <v>Adult</v>
      </c>
      <c r="K459" s="4">
        <v>39</v>
      </c>
      <c r="L459" s="4" t="s">
        <v>26</v>
      </c>
      <c r="M459" s="4">
        <v>4</v>
      </c>
      <c r="N459" s="16">
        <v>25</v>
      </c>
      <c r="O459" s="17">
        <f>M459*N459</f>
        <v>100</v>
      </c>
      <c r="P459" s="13">
        <f>$O459*$U$4</f>
        <v>1.5</v>
      </c>
      <c r="Q459" s="13">
        <f>$O459*$U$5</f>
        <v>2</v>
      </c>
      <c r="R459" s="13" cm="1">
        <f t="array" ref="R459">_xlfn.IFS(B459=2023,O459*$U$4,B459=2024,O459*$U$5)</f>
        <v>1.5</v>
      </c>
    </row>
    <row r="460" spans="1:18">
      <c r="A460" s="2">
        <v>459</v>
      </c>
      <c r="B460" s="4">
        <f t="shared" si="36"/>
        <v>2023</v>
      </c>
      <c r="C460" s="4">
        <f t="shared" si="37"/>
        <v>3</v>
      </c>
      <c r="D460" s="4">
        <f t="shared" si="38"/>
        <v>21</v>
      </c>
      <c r="E460" s="4" t="str">
        <f t="shared" si="39"/>
        <v>Tuesday</v>
      </c>
      <c r="F460" s="4" t="str">
        <f t="shared" si="40"/>
        <v>March</v>
      </c>
      <c r="G460" s="3">
        <v>45006</v>
      </c>
      <c r="H460" s="4" t="s">
        <v>491</v>
      </c>
      <c r="I460" s="4" t="s">
        <v>19</v>
      </c>
      <c r="J460" s="4" t="str" cm="1">
        <f t="array" ref="J460">_xlfn.IFS(K460&lt;30,"Young Adult",K460&lt;50,"Adult",K460&gt;=50,"Senior")</f>
        <v>Young Adult</v>
      </c>
      <c r="K460" s="4">
        <v>28</v>
      </c>
      <c r="L460" s="4" t="s">
        <v>23</v>
      </c>
      <c r="M460" s="4">
        <v>4</v>
      </c>
      <c r="N460" s="16">
        <v>300</v>
      </c>
      <c r="O460" s="17">
        <f>M460*N460</f>
        <v>1200</v>
      </c>
      <c r="P460" s="13">
        <f>$O460*$U$4</f>
        <v>18</v>
      </c>
      <c r="Q460" s="13">
        <f>$O460*$U$5</f>
        <v>24</v>
      </c>
      <c r="R460" s="13" cm="1">
        <f t="array" ref="R460">_xlfn.IFS(B460=2023,O460*$U$4,B460=2024,O460*$U$5)</f>
        <v>18</v>
      </c>
    </row>
    <row r="461" spans="1:18">
      <c r="A461" s="2">
        <v>460</v>
      </c>
      <c r="B461" s="4">
        <f t="shared" si="36"/>
        <v>2023</v>
      </c>
      <c r="C461" s="4">
        <f t="shared" si="37"/>
        <v>5</v>
      </c>
      <c r="D461" s="4">
        <f t="shared" si="38"/>
        <v>2</v>
      </c>
      <c r="E461" s="4" t="str">
        <f t="shared" si="39"/>
        <v>Tuesday</v>
      </c>
      <c r="F461" s="4" t="str">
        <f t="shared" si="40"/>
        <v>May</v>
      </c>
      <c r="G461" s="3">
        <v>45048</v>
      </c>
      <c r="H461" s="4" t="s">
        <v>492</v>
      </c>
      <c r="I461" s="4" t="s">
        <v>19</v>
      </c>
      <c r="J461" s="4" t="str" cm="1">
        <f t="array" ref="J461">_xlfn.IFS(K461&lt;30,"Young Adult",K461&lt;50,"Adult",K461&gt;=50,"Senior")</f>
        <v>Adult</v>
      </c>
      <c r="K461" s="4">
        <v>40</v>
      </c>
      <c r="L461" s="4" t="s">
        <v>20</v>
      </c>
      <c r="M461" s="4">
        <v>1</v>
      </c>
      <c r="N461" s="16">
        <v>50</v>
      </c>
      <c r="O461" s="17">
        <f>M461*N461</f>
        <v>50</v>
      </c>
      <c r="P461" s="13">
        <f>$O461*$U$4</f>
        <v>0.75</v>
      </c>
      <c r="Q461" s="13">
        <f>$O461*$U$5</f>
        <v>1</v>
      </c>
      <c r="R461" s="13" cm="1">
        <f t="array" ref="R461">_xlfn.IFS(B461=2023,O461*$U$4,B461=2024,O461*$U$5)</f>
        <v>0.75</v>
      </c>
    </row>
    <row r="462" spans="1:18">
      <c r="A462" s="2">
        <v>461</v>
      </c>
      <c r="B462" s="4">
        <f t="shared" si="36"/>
        <v>2023</v>
      </c>
      <c r="C462" s="4">
        <f t="shared" si="37"/>
        <v>3</v>
      </c>
      <c r="D462" s="4">
        <f t="shared" si="38"/>
        <v>25</v>
      </c>
      <c r="E462" s="4" t="str">
        <f t="shared" si="39"/>
        <v>Saturday</v>
      </c>
      <c r="F462" s="4" t="str">
        <f t="shared" si="40"/>
        <v>March</v>
      </c>
      <c r="G462" s="3">
        <v>45010</v>
      </c>
      <c r="H462" s="4" t="s">
        <v>493</v>
      </c>
      <c r="I462" s="4" t="s">
        <v>22</v>
      </c>
      <c r="J462" s="4" t="str" cm="1">
        <f t="array" ref="J462">_xlfn.IFS(K462&lt;30,"Young Adult",K462&lt;50,"Adult",K462&gt;=50,"Senior")</f>
        <v>Young Adult</v>
      </c>
      <c r="K462" s="4">
        <v>18</v>
      </c>
      <c r="L462" s="4" t="s">
        <v>20</v>
      </c>
      <c r="M462" s="4">
        <v>2</v>
      </c>
      <c r="N462" s="16">
        <v>500</v>
      </c>
      <c r="O462" s="17">
        <f>M462*N462</f>
        <v>1000</v>
      </c>
      <c r="P462" s="13">
        <f>$O462*$U$4</f>
        <v>15</v>
      </c>
      <c r="Q462" s="13">
        <f>$O462*$U$5</f>
        <v>20</v>
      </c>
      <c r="R462" s="13" cm="1">
        <f t="array" ref="R462">_xlfn.IFS(B462=2023,O462*$U$4,B462=2024,O462*$U$5)</f>
        <v>15</v>
      </c>
    </row>
    <row r="463" spans="1:18">
      <c r="A463" s="2">
        <v>462</v>
      </c>
      <c r="B463" s="4">
        <f t="shared" si="36"/>
        <v>2023</v>
      </c>
      <c r="C463" s="4">
        <f t="shared" si="37"/>
        <v>4</v>
      </c>
      <c r="D463" s="4">
        <f t="shared" si="38"/>
        <v>1</v>
      </c>
      <c r="E463" s="4" t="str">
        <f t="shared" si="39"/>
        <v>Saturday</v>
      </c>
      <c r="F463" s="4" t="str">
        <f t="shared" si="40"/>
        <v>April</v>
      </c>
      <c r="G463" s="3">
        <v>45017</v>
      </c>
      <c r="H463" s="4" t="s">
        <v>494</v>
      </c>
      <c r="I463" s="4" t="s">
        <v>19</v>
      </c>
      <c r="J463" s="4" t="str" cm="1">
        <f t="array" ref="J463">_xlfn.IFS(K463&lt;30,"Young Adult",K463&lt;50,"Adult",K463&gt;=50,"Senior")</f>
        <v>Senior</v>
      </c>
      <c r="K463" s="4">
        <v>63</v>
      </c>
      <c r="L463" s="4" t="s">
        <v>26</v>
      </c>
      <c r="M463" s="4">
        <v>4</v>
      </c>
      <c r="N463" s="16">
        <v>300</v>
      </c>
      <c r="O463" s="17">
        <f>M463*N463</f>
        <v>1200</v>
      </c>
      <c r="P463" s="13">
        <f>$O463*$U$4</f>
        <v>18</v>
      </c>
      <c r="Q463" s="13">
        <f>$O463*$U$5</f>
        <v>24</v>
      </c>
      <c r="R463" s="13" cm="1">
        <f t="array" ref="R463">_xlfn.IFS(B463=2023,O463*$U$4,B463=2024,O463*$U$5)</f>
        <v>18</v>
      </c>
    </row>
    <row r="464" spans="1:18">
      <c r="A464" s="2">
        <v>463</v>
      </c>
      <c r="B464" s="4">
        <f t="shared" si="36"/>
        <v>2023</v>
      </c>
      <c r="C464" s="4">
        <f t="shared" si="37"/>
        <v>7</v>
      </c>
      <c r="D464" s="4">
        <f t="shared" si="38"/>
        <v>31</v>
      </c>
      <c r="E464" s="4" t="str">
        <f t="shared" si="39"/>
        <v>Monday</v>
      </c>
      <c r="F464" s="4" t="str">
        <f t="shared" si="40"/>
        <v>July</v>
      </c>
      <c r="G464" s="3">
        <v>45138</v>
      </c>
      <c r="H464" s="4" t="s">
        <v>495</v>
      </c>
      <c r="I464" s="4" t="s">
        <v>22</v>
      </c>
      <c r="J464" s="4" t="str" cm="1">
        <f t="array" ref="J464">_xlfn.IFS(K464&lt;30,"Young Adult",K464&lt;50,"Adult",K464&gt;=50,"Senior")</f>
        <v>Senior</v>
      </c>
      <c r="K464" s="4">
        <v>54</v>
      </c>
      <c r="L464" s="4" t="s">
        <v>20</v>
      </c>
      <c r="M464" s="4">
        <v>3</v>
      </c>
      <c r="N464" s="16">
        <v>500</v>
      </c>
      <c r="O464" s="17">
        <f>M464*N464</f>
        <v>1500</v>
      </c>
      <c r="P464" s="13">
        <f>$O464*$U$4</f>
        <v>22.5</v>
      </c>
      <c r="Q464" s="13">
        <f>$O464*$U$5</f>
        <v>30</v>
      </c>
      <c r="R464" s="13" cm="1">
        <f t="array" ref="R464">_xlfn.IFS(B464=2023,O464*$U$4,B464=2024,O464*$U$5)</f>
        <v>22.5</v>
      </c>
    </row>
    <row r="465" spans="1:18">
      <c r="A465" s="2">
        <v>464</v>
      </c>
      <c r="B465" s="4">
        <f t="shared" si="36"/>
        <v>2023</v>
      </c>
      <c r="C465" s="4">
        <f t="shared" si="37"/>
        <v>1</v>
      </c>
      <c r="D465" s="4">
        <f t="shared" si="38"/>
        <v>13</v>
      </c>
      <c r="E465" s="4" t="str">
        <f t="shared" si="39"/>
        <v>Friday</v>
      </c>
      <c r="F465" s="4" t="str">
        <f t="shared" si="40"/>
        <v>January</v>
      </c>
      <c r="G465" s="3">
        <v>44939</v>
      </c>
      <c r="H465" s="4" t="s">
        <v>496</v>
      </c>
      <c r="I465" s="4" t="s">
        <v>19</v>
      </c>
      <c r="J465" s="4" t="str" cm="1">
        <f t="array" ref="J465">_xlfn.IFS(K465&lt;30,"Young Adult",K465&lt;50,"Adult",K465&gt;=50,"Senior")</f>
        <v>Adult</v>
      </c>
      <c r="K465" s="4">
        <v>38</v>
      </c>
      <c r="L465" s="4" t="s">
        <v>26</v>
      </c>
      <c r="M465" s="4">
        <v>2</v>
      </c>
      <c r="N465" s="16">
        <v>300</v>
      </c>
      <c r="O465" s="17">
        <f>M465*N465</f>
        <v>600</v>
      </c>
      <c r="P465" s="13">
        <f>$O465*$U$4</f>
        <v>9</v>
      </c>
      <c r="Q465" s="13">
        <f>$O465*$U$5</f>
        <v>12</v>
      </c>
      <c r="R465" s="13" cm="1">
        <f t="array" ref="R465">_xlfn.IFS(B465=2023,O465*$U$4,B465=2024,O465*$U$5)</f>
        <v>9</v>
      </c>
    </row>
    <row r="466" spans="1:18">
      <c r="A466" s="2">
        <v>465</v>
      </c>
      <c r="B466" s="4">
        <f t="shared" si="36"/>
        <v>2023</v>
      </c>
      <c r="C466" s="4">
        <f t="shared" si="37"/>
        <v>4</v>
      </c>
      <c r="D466" s="4">
        <f t="shared" si="38"/>
        <v>2</v>
      </c>
      <c r="E466" s="4" t="str">
        <f t="shared" si="39"/>
        <v>Sunday</v>
      </c>
      <c r="F466" s="4" t="str">
        <f t="shared" si="40"/>
        <v>April</v>
      </c>
      <c r="G466" s="3">
        <v>45018</v>
      </c>
      <c r="H466" s="4" t="s">
        <v>497</v>
      </c>
      <c r="I466" s="4" t="s">
        <v>22</v>
      </c>
      <c r="J466" s="4" t="str" cm="1">
        <f t="array" ref="J466">_xlfn.IFS(K466&lt;30,"Young Adult",K466&lt;50,"Adult",K466&gt;=50,"Senior")</f>
        <v>Adult</v>
      </c>
      <c r="K466" s="4">
        <v>43</v>
      </c>
      <c r="L466" s="4" t="s">
        <v>26</v>
      </c>
      <c r="M466" s="4">
        <v>3</v>
      </c>
      <c r="N466" s="16">
        <v>50</v>
      </c>
      <c r="O466" s="17">
        <f>M466*N466</f>
        <v>150</v>
      </c>
      <c r="P466" s="13">
        <f>$O466*$U$4</f>
        <v>2.25</v>
      </c>
      <c r="Q466" s="13">
        <f>$O466*$U$5</f>
        <v>3</v>
      </c>
      <c r="R466" s="13" cm="1">
        <f t="array" ref="R466">_xlfn.IFS(B466=2023,O466*$U$4,B466=2024,O466*$U$5)</f>
        <v>2.25</v>
      </c>
    </row>
    <row r="467" spans="1:18">
      <c r="A467" s="2">
        <v>466</v>
      </c>
      <c r="B467" s="4">
        <f t="shared" si="36"/>
        <v>2023</v>
      </c>
      <c r="C467" s="4">
        <f t="shared" si="37"/>
        <v>6</v>
      </c>
      <c r="D467" s="4">
        <f t="shared" si="38"/>
        <v>20</v>
      </c>
      <c r="E467" s="4" t="str">
        <f t="shared" si="39"/>
        <v>Tuesday</v>
      </c>
      <c r="F467" s="4" t="str">
        <f t="shared" si="40"/>
        <v>June</v>
      </c>
      <c r="G467" s="3">
        <v>45097</v>
      </c>
      <c r="H467" s="4" t="s">
        <v>498</v>
      </c>
      <c r="I467" s="4" t="s">
        <v>19</v>
      </c>
      <c r="J467" s="4" t="str" cm="1">
        <f t="array" ref="J467">_xlfn.IFS(K467&lt;30,"Young Adult",K467&lt;50,"Adult",K467&gt;=50,"Senior")</f>
        <v>Senior</v>
      </c>
      <c r="K467" s="4">
        <v>63</v>
      </c>
      <c r="L467" s="4" t="s">
        <v>26</v>
      </c>
      <c r="M467" s="4">
        <v>4</v>
      </c>
      <c r="N467" s="16">
        <v>25</v>
      </c>
      <c r="O467" s="17">
        <f>M467*N467</f>
        <v>100</v>
      </c>
      <c r="P467" s="13">
        <f>$O467*$U$4</f>
        <v>1.5</v>
      </c>
      <c r="Q467" s="13">
        <f>$O467*$U$5</f>
        <v>2</v>
      </c>
      <c r="R467" s="13" cm="1">
        <f t="array" ref="R467">_xlfn.IFS(B467=2023,O467*$U$4,B467=2024,O467*$U$5)</f>
        <v>1.5</v>
      </c>
    </row>
    <row r="468" spans="1:18">
      <c r="A468" s="2">
        <v>467</v>
      </c>
      <c r="B468" s="4">
        <f t="shared" si="36"/>
        <v>2023</v>
      </c>
      <c r="C468" s="4">
        <f t="shared" si="37"/>
        <v>7</v>
      </c>
      <c r="D468" s="4">
        <f t="shared" si="38"/>
        <v>30</v>
      </c>
      <c r="E468" s="4" t="str">
        <f t="shared" si="39"/>
        <v>Sunday</v>
      </c>
      <c r="F468" s="4" t="str">
        <f t="shared" si="40"/>
        <v>July</v>
      </c>
      <c r="G468" s="3">
        <v>45137</v>
      </c>
      <c r="H468" s="4" t="s">
        <v>499</v>
      </c>
      <c r="I468" s="4" t="s">
        <v>22</v>
      </c>
      <c r="J468" s="4" t="str" cm="1">
        <f t="array" ref="J468">_xlfn.IFS(K468&lt;30,"Young Adult",K468&lt;50,"Adult",K468&gt;=50,"Senior")</f>
        <v>Senior</v>
      </c>
      <c r="K468" s="4">
        <v>53</v>
      </c>
      <c r="L468" s="4" t="s">
        <v>26</v>
      </c>
      <c r="M468" s="4">
        <v>3</v>
      </c>
      <c r="N468" s="16">
        <v>50</v>
      </c>
      <c r="O468" s="17">
        <f>M468*N468</f>
        <v>150</v>
      </c>
      <c r="P468" s="13">
        <f>$O468*$U$4</f>
        <v>2.25</v>
      </c>
      <c r="Q468" s="13">
        <f>$O468*$U$5</f>
        <v>3</v>
      </c>
      <c r="R468" s="13" cm="1">
        <f t="array" ref="R468">_xlfn.IFS(B468=2023,O468*$U$4,B468=2024,O468*$U$5)</f>
        <v>2.25</v>
      </c>
    </row>
    <row r="469" spans="1:18">
      <c r="A469" s="2">
        <v>468</v>
      </c>
      <c r="B469" s="4">
        <f t="shared" si="36"/>
        <v>2023</v>
      </c>
      <c r="C469" s="4">
        <f t="shared" si="37"/>
        <v>12</v>
      </c>
      <c r="D469" s="4">
        <f t="shared" si="38"/>
        <v>9</v>
      </c>
      <c r="E469" s="4" t="str">
        <f t="shared" si="39"/>
        <v>Saturday</v>
      </c>
      <c r="F469" s="4" t="str">
        <f t="shared" si="40"/>
        <v>December</v>
      </c>
      <c r="G469" s="3">
        <v>45269</v>
      </c>
      <c r="H469" s="4" t="s">
        <v>500</v>
      </c>
      <c r="I469" s="4" t="s">
        <v>19</v>
      </c>
      <c r="J469" s="4" t="str" cm="1">
        <f t="array" ref="J469">_xlfn.IFS(K469&lt;30,"Young Adult",K469&lt;50,"Adult",K469&gt;=50,"Senior")</f>
        <v>Adult</v>
      </c>
      <c r="K469" s="4">
        <v>40</v>
      </c>
      <c r="L469" s="4" t="s">
        <v>26</v>
      </c>
      <c r="M469" s="4">
        <v>1</v>
      </c>
      <c r="N469" s="16">
        <v>25</v>
      </c>
      <c r="O469" s="17">
        <f>M469*N469</f>
        <v>25</v>
      </c>
      <c r="P469" s="13">
        <f>$O469*$U$4</f>
        <v>0.375</v>
      </c>
      <c r="Q469" s="13">
        <f>$O469*$U$5</f>
        <v>0.5</v>
      </c>
      <c r="R469" s="13" cm="1">
        <f t="array" ref="R469">_xlfn.IFS(B469=2023,O469*$U$4,B469=2024,O469*$U$5)</f>
        <v>0.375</v>
      </c>
    </row>
    <row r="470" spans="1:18">
      <c r="A470" s="2">
        <v>469</v>
      </c>
      <c r="B470" s="4">
        <f t="shared" si="36"/>
        <v>2023</v>
      </c>
      <c r="C470" s="4">
        <f t="shared" si="37"/>
        <v>5</v>
      </c>
      <c r="D470" s="4">
        <f t="shared" si="38"/>
        <v>8</v>
      </c>
      <c r="E470" s="4" t="str">
        <f t="shared" si="39"/>
        <v>Monday</v>
      </c>
      <c r="F470" s="4" t="str">
        <f t="shared" si="40"/>
        <v>May</v>
      </c>
      <c r="G470" s="3">
        <v>45054</v>
      </c>
      <c r="H470" s="4" t="s">
        <v>501</v>
      </c>
      <c r="I470" s="4" t="s">
        <v>19</v>
      </c>
      <c r="J470" s="4" t="str" cm="1">
        <f t="array" ref="J470">_xlfn.IFS(K470&lt;30,"Young Adult",K470&lt;50,"Adult",K470&gt;=50,"Senior")</f>
        <v>Young Adult</v>
      </c>
      <c r="K470" s="4">
        <v>18</v>
      </c>
      <c r="L470" s="4" t="s">
        <v>20</v>
      </c>
      <c r="M470" s="4">
        <v>3</v>
      </c>
      <c r="N470" s="16">
        <v>25</v>
      </c>
      <c r="O470" s="17">
        <f>M470*N470</f>
        <v>75</v>
      </c>
      <c r="P470" s="13">
        <f>$O470*$U$4</f>
        <v>1.125</v>
      </c>
      <c r="Q470" s="13">
        <f>$O470*$U$5</f>
        <v>1.5</v>
      </c>
      <c r="R470" s="13" cm="1">
        <f t="array" ref="R470">_xlfn.IFS(B470=2023,O470*$U$4,B470=2024,O470*$U$5)</f>
        <v>1.125</v>
      </c>
    </row>
    <row r="471" spans="1:18">
      <c r="A471" s="2">
        <v>470</v>
      </c>
      <c r="B471" s="4">
        <f t="shared" si="36"/>
        <v>2023</v>
      </c>
      <c r="C471" s="4">
        <f t="shared" si="37"/>
        <v>5</v>
      </c>
      <c r="D471" s="4">
        <f t="shared" si="38"/>
        <v>17</v>
      </c>
      <c r="E471" s="4" t="str">
        <f t="shared" si="39"/>
        <v>Wednesday</v>
      </c>
      <c r="F471" s="4" t="str">
        <f t="shared" si="40"/>
        <v>May</v>
      </c>
      <c r="G471" s="3">
        <v>45063</v>
      </c>
      <c r="H471" s="4" t="s">
        <v>502</v>
      </c>
      <c r="I471" s="4" t="s">
        <v>22</v>
      </c>
      <c r="J471" s="4" t="str" cm="1">
        <f t="array" ref="J471">_xlfn.IFS(K471&lt;30,"Young Adult",K471&lt;50,"Adult",K471&gt;=50,"Senior")</f>
        <v>Senior</v>
      </c>
      <c r="K471" s="4">
        <v>57</v>
      </c>
      <c r="L471" s="4" t="s">
        <v>23</v>
      </c>
      <c r="M471" s="4">
        <v>2</v>
      </c>
      <c r="N471" s="16">
        <v>500</v>
      </c>
      <c r="O471" s="17">
        <f>M471*N471</f>
        <v>1000</v>
      </c>
      <c r="P471" s="13">
        <f>$O471*$U$4</f>
        <v>15</v>
      </c>
      <c r="Q471" s="13">
        <f>$O471*$U$5</f>
        <v>20</v>
      </c>
      <c r="R471" s="13" cm="1">
        <f t="array" ref="R471">_xlfn.IFS(B471=2023,O471*$U$4,B471=2024,O471*$U$5)</f>
        <v>15</v>
      </c>
    </row>
    <row r="472" spans="1:18">
      <c r="A472" s="2">
        <v>471</v>
      </c>
      <c r="B472" s="4">
        <f t="shared" si="36"/>
        <v>2023</v>
      </c>
      <c r="C472" s="4">
        <f t="shared" si="37"/>
        <v>3</v>
      </c>
      <c r="D472" s="4">
        <f t="shared" si="38"/>
        <v>23</v>
      </c>
      <c r="E472" s="4" t="str">
        <f t="shared" si="39"/>
        <v>Thursday</v>
      </c>
      <c r="F472" s="4" t="str">
        <f t="shared" si="40"/>
        <v>March</v>
      </c>
      <c r="G472" s="3">
        <v>45008</v>
      </c>
      <c r="H472" s="4" t="s">
        <v>503</v>
      </c>
      <c r="I472" s="4" t="s">
        <v>19</v>
      </c>
      <c r="J472" s="4" t="str" cm="1">
        <f t="array" ref="J472">_xlfn.IFS(K472&lt;30,"Young Adult",K472&lt;50,"Adult",K472&gt;=50,"Senior")</f>
        <v>Adult</v>
      </c>
      <c r="K472" s="4">
        <v>32</v>
      </c>
      <c r="L472" s="4" t="s">
        <v>23</v>
      </c>
      <c r="M472" s="4">
        <v>3</v>
      </c>
      <c r="N472" s="16">
        <v>50</v>
      </c>
      <c r="O472" s="17">
        <f>M472*N472</f>
        <v>150</v>
      </c>
      <c r="P472" s="13">
        <f>$O472*$U$4</f>
        <v>2.25</v>
      </c>
      <c r="Q472" s="13">
        <f>$O472*$U$5</f>
        <v>3</v>
      </c>
      <c r="R472" s="13" cm="1">
        <f t="array" ref="R472">_xlfn.IFS(B472=2023,O472*$U$4,B472=2024,O472*$U$5)</f>
        <v>2.25</v>
      </c>
    </row>
    <row r="473" spans="1:18">
      <c r="A473" s="2">
        <v>472</v>
      </c>
      <c r="B473" s="4">
        <f t="shared" si="36"/>
        <v>2023</v>
      </c>
      <c r="C473" s="4">
        <f t="shared" si="37"/>
        <v>12</v>
      </c>
      <c r="D473" s="4">
        <f t="shared" si="38"/>
        <v>26</v>
      </c>
      <c r="E473" s="4" t="str">
        <f t="shared" si="39"/>
        <v>Tuesday</v>
      </c>
      <c r="F473" s="4" t="str">
        <f t="shared" si="40"/>
        <v>December</v>
      </c>
      <c r="G473" s="3">
        <v>45286</v>
      </c>
      <c r="H473" s="4" t="s">
        <v>504</v>
      </c>
      <c r="I473" s="4" t="s">
        <v>22</v>
      </c>
      <c r="J473" s="4" t="str" cm="1">
        <f t="array" ref="J473">_xlfn.IFS(K473&lt;30,"Young Adult",K473&lt;50,"Adult",K473&gt;=50,"Senior")</f>
        <v>Adult</v>
      </c>
      <c r="K473" s="4">
        <v>38</v>
      </c>
      <c r="L473" s="4" t="s">
        <v>20</v>
      </c>
      <c r="M473" s="4">
        <v>3</v>
      </c>
      <c r="N473" s="16">
        <v>300</v>
      </c>
      <c r="O473" s="17">
        <f>M473*N473</f>
        <v>900</v>
      </c>
      <c r="P473" s="13">
        <f>$O473*$U$4</f>
        <v>13.5</v>
      </c>
      <c r="Q473" s="13">
        <f>$O473*$U$5</f>
        <v>18</v>
      </c>
      <c r="R473" s="13" cm="1">
        <f t="array" ref="R473">_xlfn.IFS(B473=2023,O473*$U$4,B473=2024,O473*$U$5)</f>
        <v>13.5</v>
      </c>
    </row>
    <row r="474" spans="1:18">
      <c r="A474" s="2">
        <v>473</v>
      </c>
      <c r="B474" s="4">
        <f t="shared" si="36"/>
        <v>2023</v>
      </c>
      <c r="C474" s="4">
        <f t="shared" si="37"/>
        <v>2</v>
      </c>
      <c r="D474" s="4">
        <f t="shared" si="38"/>
        <v>25</v>
      </c>
      <c r="E474" s="4" t="str">
        <f t="shared" si="39"/>
        <v>Saturday</v>
      </c>
      <c r="F474" s="4" t="str">
        <f t="shared" si="40"/>
        <v>February</v>
      </c>
      <c r="G474" s="3">
        <v>44982</v>
      </c>
      <c r="H474" s="4" t="s">
        <v>505</v>
      </c>
      <c r="I474" s="4" t="s">
        <v>19</v>
      </c>
      <c r="J474" s="4" t="str" cm="1">
        <f t="array" ref="J474">_xlfn.IFS(K474&lt;30,"Young Adult",K474&lt;50,"Adult",K474&gt;=50,"Senior")</f>
        <v>Senior</v>
      </c>
      <c r="K474" s="4">
        <v>64</v>
      </c>
      <c r="L474" s="4" t="s">
        <v>20</v>
      </c>
      <c r="M474" s="4">
        <v>1</v>
      </c>
      <c r="N474" s="16">
        <v>50</v>
      </c>
      <c r="O474" s="17">
        <f>M474*N474</f>
        <v>50</v>
      </c>
      <c r="P474" s="13">
        <f>$O474*$U$4</f>
        <v>0.75</v>
      </c>
      <c r="Q474" s="13">
        <f>$O474*$U$5</f>
        <v>1</v>
      </c>
      <c r="R474" s="13" cm="1">
        <f t="array" ref="R474">_xlfn.IFS(B474=2023,O474*$U$4,B474=2024,O474*$U$5)</f>
        <v>0.75</v>
      </c>
    </row>
    <row r="475" spans="1:18">
      <c r="A475" s="2">
        <v>474</v>
      </c>
      <c r="B475" s="4">
        <f t="shared" si="36"/>
        <v>2023</v>
      </c>
      <c r="C475" s="4">
        <f t="shared" si="37"/>
        <v>7</v>
      </c>
      <c r="D475" s="4">
        <f t="shared" si="38"/>
        <v>15</v>
      </c>
      <c r="E475" s="4" t="str">
        <f t="shared" si="39"/>
        <v>Saturday</v>
      </c>
      <c r="F475" s="4" t="str">
        <f t="shared" si="40"/>
        <v>July</v>
      </c>
      <c r="G475" s="3">
        <v>45122</v>
      </c>
      <c r="H475" s="4" t="s">
        <v>506</v>
      </c>
      <c r="I475" s="4" t="s">
        <v>22</v>
      </c>
      <c r="J475" s="4" t="str" cm="1">
        <f t="array" ref="J475">_xlfn.IFS(K475&lt;30,"Young Adult",K475&lt;50,"Adult",K475&gt;=50,"Senior")</f>
        <v>Young Adult</v>
      </c>
      <c r="K475" s="4">
        <v>26</v>
      </c>
      <c r="L475" s="4" t="s">
        <v>23</v>
      </c>
      <c r="M475" s="4">
        <v>3</v>
      </c>
      <c r="N475" s="16">
        <v>500</v>
      </c>
      <c r="O475" s="17">
        <f>M475*N475</f>
        <v>1500</v>
      </c>
      <c r="P475" s="13">
        <f>$O475*$U$4</f>
        <v>22.5</v>
      </c>
      <c r="Q475" s="13">
        <f>$O475*$U$5</f>
        <v>30</v>
      </c>
      <c r="R475" s="13" cm="1">
        <f t="array" ref="R475">_xlfn.IFS(B475=2023,O475*$U$4,B475=2024,O475*$U$5)</f>
        <v>22.5</v>
      </c>
    </row>
    <row r="476" spans="1:18">
      <c r="A476" s="2">
        <v>475</v>
      </c>
      <c r="B476" s="4">
        <f t="shared" si="36"/>
        <v>2023</v>
      </c>
      <c r="C476" s="4">
        <f t="shared" si="37"/>
        <v>1</v>
      </c>
      <c r="D476" s="4">
        <f t="shared" si="38"/>
        <v>20</v>
      </c>
      <c r="E476" s="4" t="str">
        <f t="shared" si="39"/>
        <v>Friday</v>
      </c>
      <c r="F476" s="4" t="str">
        <f t="shared" si="40"/>
        <v>January</v>
      </c>
      <c r="G476" s="3">
        <v>44946</v>
      </c>
      <c r="H476" s="4" t="s">
        <v>507</v>
      </c>
      <c r="I476" s="4" t="s">
        <v>19</v>
      </c>
      <c r="J476" s="4" t="str" cm="1">
        <f t="array" ref="J476">_xlfn.IFS(K476&lt;30,"Young Adult",K476&lt;50,"Adult",K476&gt;=50,"Senior")</f>
        <v>Young Adult</v>
      </c>
      <c r="K476" s="4">
        <v>26</v>
      </c>
      <c r="L476" s="4" t="s">
        <v>23</v>
      </c>
      <c r="M476" s="4">
        <v>3</v>
      </c>
      <c r="N476" s="16">
        <v>25</v>
      </c>
      <c r="O476" s="17">
        <f>M476*N476</f>
        <v>75</v>
      </c>
      <c r="P476" s="13">
        <f>$O476*$U$4</f>
        <v>1.125</v>
      </c>
      <c r="Q476" s="13">
        <f>$O476*$U$5</f>
        <v>1.5</v>
      </c>
      <c r="R476" s="13" cm="1">
        <f t="array" ref="R476">_xlfn.IFS(B476=2023,O476*$U$4,B476=2024,O476*$U$5)</f>
        <v>1.125</v>
      </c>
    </row>
    <row r="477" spans="1:18">
      <c r="A477" s="2">
        <v>476</v>
      </c>
      <c r="B477" s="4">
        <f t="shared" si="36"/>
        <v>2023</v>
      </c>
      <c r="C477" s="4">
        <f t="shared" si="37"/>
        <v>8</v>
      </c>
      <c r="D477" s="4">
        <f t="shared" si="38"/>
        <v>29</v>
      </c>
      <c r="E477" s="4" t="str">
        <f t="shared" si="39"/>
        <v>Tuesday</v>
      </c>
      <c r="F477" s="4" t="str">
        <f t="shared" si="40"/>
        <v>August</v>
      </c>
      <c r="G477" s="3">
        <v>45167</v>
      </c>
      <c r="H477" s="4" t="s">
        <v>508</v>
      </c>
      <c r="I477" s="4" t="s">
        <v>22</v>
      </c>
      <c r="J477" s="4" t="str" cm="1">
        <f t="array" ref="J477">_xlfn.IFS(K477&lt;30,"Young Adult",K477&lt;50,"Adult",K477&gt;=50,"Senior")</f>
        <v>Young Adult</v>
      </c>
      <c r="K477" s="4">
        <v>27</v>
      </c>
      <c r="L477" s="4" t="s">
        <v>23</v>
      </c>
      <c r="M477" s="4">
        <v>4</v>
      </c>
      <c r="N477" s="16">
        <v>500</v>
      </c>
      <c r="O477" s="17">
        <f>M477*N477</f>
        <v>2000</v>
      </c>
      <c r="P477" s="13">
        <f>$O477*$U$4</f>
        <v>30</v>
      </c>
      <c r="Q477" s="13">
        <f>$O477*$U$5</f>
        <v>40</v>
      </c>
      <c r="R477" s="13" cm="1">
        <f t="array" ref="R477">_xlfn.IFS(B477=2023,O477*$U$4,B477=2024,O477*$U$5)</f>
        <v>30</v>
      </c>
    </row>
    <row r="478" spans="1:18">
      <c r="A478" s="2">
        <v>477</v>
      </c>
      <c r="B478" s="4">
        <f t="shared" si="36"/>
        <v>2023</v>
      </c>
      <c r="C478" s="4">
        <f t="shared" si="37"/>
        <v>4</v>
      </c>
      <c r="D478" s="4">
        <f t="shared" si="38"/>
        <v>24</v>
      </c>
      <c r="E478" s="4" t="str">
        <f t="shared" si="39"/>
        <v>Monday</v>
      </c>
      <c r="F478" s="4" t="str">
        <f t="shared" si="40"/>
        <v>April</v>
      </c>
      <c r="G478" s="3">
        <v>45040</v>
      </c>
      <c r="H478" s="4" t="s">
        <v>509</v>
      </c>
      <c r="I478" s="4" t="s">
        <v>19</v>
      </c>
      <c r="J478" s="4" t="str" cm="1">
        <f t="array" ref="J478">_xlfn.IFS(K478&lt;30,"Young Adult",K478&lt;50,"Adult",K478&gt;=50,"Senior")</f>
        <v>Adult</v>
      </c>
      <c r="K478" s="4">
        <v>43</v>
      </c>
      <c r="L478" s="4" t="s">
        <v>23</v>
      </c>
      <c r="M478" s="4">
        <v>4</v>
      </c>
      <c r="N478" s="16">
        <v>30</v>
      </c>
      <c r="O478" s="17">
        <f>M478*N478</f>
        <v>120</v>
      </c>
      <c r="P478" s="13">
        <f>$O478*$U$4</f>
        <v>1.7999999999999998</v>
      </c>
      <c r="Q478" s="13">
        <f>$O478*$U$5</f>
        <v>2.4</v>
      </c>
      <c r="R478" s="13" cm="1">
        <f t="array" ref="R478">_xlfn.IFS(B478=2023,O478*$U$4,B478=2024,O478*$U$5)</f>
        <v>1.7999999999999998</v>
      </c>
    </row>
    <row r="479" spans="1:18">
      <c r="A479" s="2">
        <v>478</v>
      </c>
      <c r="B479" s="4">
        <f t="shared" si="36"/>
        <v>2023</v>
      </c>
      <c r="C479" s="4">
        <f t="shared" si="37"/>
        <v>4</v>
      </c>
      <c r="D479" s="4">
        <f t="shared" si="38"/>
        <v>13</v>
      </c>
      <c r="E479" s="4" t="str">
        <f t="shared" si="39"/>
        <v>Thursday</v>
      </c>
      <c r="F479" s="4" t="str">
        <f t="shared" si="40"/>
        <v>April</v>
      </c>
      <c r="G479" s="3">
        <v>45029</v>
      </c>
      <c r="H479" s="4" t="s">
        <v>510</v>
      </c>
      <c r="I479" s="4" t="s">
        <v>22</v>
      </c>
      <c r="J479" s="4" t="str" cm="1">
        <f t="array" ref="J479">_xlfn.IFS(K479&lt;30,"Young Adult",K479&lt;50,"Adult",K479&gt;=50,"Senior")</f>
        <v>Senior</v>
      </c>
      <c r="K479" s="4">
        <v>58</v>
      </c>
      <c r="L479" s="4" t="s">
        <v>23</v>
      </c>
      <c r="M479" s="4">
        <v>2</v>
      </c>
      <c r="N479" s="16">
        <v>30</v>
      </c>
      <c r="O479" s="17">
        <f>M479*N479</f>
        <v>60</v>
      </c>
      <c r="P479" s="13">
        <f>$O479*$U$4</f>
        <v>0.89999999999999991</v>
      </c>
      <c r="Q479" s="13">
        <f>$O479*$U$5</f>
        <v>1.2</v>
      </c>
      <c r="R479" s="13" cm="1">
        <f t="array" ref="R479">_xlfn.IFS(B479=2023,O479*$U$4,B479=2024,O479*$U$5)</f>
        <v>0.89999999999999991</v>
      </c>
    </row>
    <row r="480" spans="1:18">
      <c r="A480" s="2">
        <v>479</v>
      </c>
      <c r="B480" s="4">
        <f t="shared" si="36"/>
        <v>2023</v>
      </c>
      <c r="C480" s="4">
        <f t="shared" si="37"/>
        <v>8</v>
      </c>
      <c r="D480" s="4">
        <f t="shared" si="38"/>
        <v>24</v>
      </c>
      <c r="E480" s="4" t="str">
        <f t="shared" si="39"/>
        <v>Thursday</v>
      </c>
      <c r="F480" s="4" t="str">
        <f t="shared" si="40"/>
        <v>August</v>
      </c>
      <c r="G480" s="3">
        <v>45162</v>
      </c>
      <c r="H480" s="4" t="s">
        <v>511</v>
      </c>
      <c r="I480" s="4" t="s">
        <v>19</v>
      </c>
      <c r="J480" s="4" t="str" cm="1">
        <f t="array" ref="J480">_xlfn.IFS(K480&lt;30,"Young Adult",K480&lt;50,"Adult",K480&gt;=50,"Senior")</f>
        <v>Senior</v>
      </c>
      <c r="K480" s="4">
        <v>52</v>
      </c>
      <c r="L480" s="4" t="s">
        <v>26</v>
      </c>
      <c r="M480" s="4">
        <v>4</v>
      </c>
      <c r="N480" s="16">
        <v>300</v>
      </c>
      <c r="O480" s="17">
        <f>M480*N480</f>
        <v>1200</v>
      </c>
      <c r="P480" s="13">
        <f>$O480*$U$4</f>
        <v>18</v>
      </c>
      <c r="Q480" s="13">
        <f>$O480*$U$5</f>
        <v>24</v>
      </c>
      <c r="R480" s="13" cm="1">
        <f t="array" ref="R480">_xlfn.IFS(B480=2023,O480*$U$4,B480=2024,O480*$U$5)</f>
        <v>18</v>
      </c>
    </row>
    <row r="481" spans="1:18">
      <c r="A481" s="2">
        <v>480</v>
      </c>
      <c r="B481" s="4">
        <f t="shared" si="36"/>
        <v>2023</v>
      </c>
      <c r="C481" s="4">
        <f t="shared" si="37"/>
        <v>6</v>
      </c>
      <c r="D481" s="4">
        <f t="shared" si="38"/>
        <v>29</v>
      </c>
      <c r="E481" s="4" t="str">
        <f t="shared" si="39"/>
        <v>Thursday</v>
      </c>
      <c r="F481" s="4" t="str">
        <f t="shared" si="40"/>
        <v>June</v>
      </c>
      <c r="G481" s="3">
        <v>45106</v>
      </c>
      <c r="H481" s="4" t="s">
        <v>512</v>
      </c>
      <c r="I481" s="4" t="s">
        <v>22</v>
      </c>
      <c r="J481" s="4" t="str" cm="1">
        <f t="array" ref="J481">_xlfn.IFS(K481&lt;30,"Young Adult",K481&lt;50,"Adult",K481&gt;=50,"Senior")</f>
        <v>Adult</v>
      </c>
      <c r="K481" s="4">
        <v>42</v>
      </c>
      <c r="L481" s="4" t="s">
        <v>20</v>
      </c>
      <c r="M481" s="4">
        <v>4</v>
      </c>
      <c r="N481" s="16">
        <v>500</v>
      </c>
      <c r="O481" s="17">
        <f>M481*N481</f>
        <v>2000</v>
      </c>
      <c r="P481" s="13">
        <f>$O481*$U$4</f>
        <v>30</v>
      </c>
      <c r="Q481" s="13">
        <f>$O481*$U$5</f>
        <v>40</v>
      </c>
      <c r="R481" s="13" cm="1">
        <f t="array" ref="R481">_xlfn.IFS(B481=2023,O481*$U$4,B481=2024,O481*$U$5)</f>
        <v>30</v>
      </c>
    </row>
    <row r="482" spans="1:18">
      <c r="A482" s="2">
        <v>481</v>
      </c>
      <c r="B482" s="4">
        <f t="shared" si="36"/>
        <v>2023</v>
      </c>
      <c r="C482" s="4">
        <f t="shared" si="37"/>
        <v>6</v>
      </c>
      <c r="D482" s="4">
        <f t="shared" si="38"/>
        <v>6</v>
      </c>
      <c r="E482" s="4" t="str">
        <f t="shared" si="39"/>
        <v>Tuesday</v>
      </c>
      <c r="F482" s="4" t="str">
        <f t="shared" si="40"/>
        <v>June</v>
      </c>
      <c r="G482" s="3">
        <v>45083</v>
      </c>
      <c r="H482" s="4" t="s">
        <v>513</v>
      </c>
      <c r="I482" s="4" t="s">
        <v>22</v>
      </c>
      <c r="J482" s="4" t="str" cm="1">
        <f t="array" ref="J482">_xlfn.IFS(K482&lt;30,"Young Adult",K482&lt;50,"Adult",K482&gt;=50,"Senior")</f>
        <v>Adult</v>
      </c>
      <c r="K482" s="4">
        <v>43</v>
      </c>
      <c r="L482" s="4" t="s">
        <v>26</v>
      </c>
      <c r="M482" s="4">
        <v>4</v>
      </c>
      <c r="N482" s="16">
        <v>300</v>
      </c>
      <c r="O482" s="17">
        <f>M482*N482</f>
        <v>1200</v>
      </c>
      <c r="P482" s="13">
        <f>$O482*$U$4</f>
        <v>18</v>
      </c>
      <c r="Q482" s="13">
        <f>$O482*$U$5</f>
        <v>24</v>
      </c>
      <c r="R482" s="13" cm="1">
        <f t="array" ref="R482">_xlfn.IFS(B482=2023,O482*$U$4,B482=2024,O482*$U$5)</f>
        <v>18</v>
      </c>
    </row>
    <row r="483" spans="1:18">
      <c r="A483" s="2">
        <v>482</v>
      </c>
      <c r="B483" s="4">
        <f t="shared" si="36"/>
        <v>2023</v>
      </c>
      <c r="C483" s="4">
        <f t="shared" si="37"/>
        <v>4</v>
      </c>
      <c r="D483" s="4">
        <f t="shared" si="38"/>
        <v>27</v>
      </c>
      <c r="E483" s="4" t="str">
        <f t="shared" si="39"/>
        <v>Thursday</v>
      </c>
      <c r="F483" s="4" t="str">
        <f t="shared" si="40"/>
        <v>April</v>
      </c>
      <c r="G483" s="3">
        <v>45043</v>
      </c>
      <c r="H483" s="4" t="s">
        <v>514</v>
      </c>
      <c r="I483" s="4" t="s">
        <v>22</v>
      </c>
      <c r="J483" s="4" t="str" cm="1">
        <f t="array" ref="J483">_xlfn.IFS(K483&lt;30,"Young Adult",K483&lt;50,"Adult",K483&gt;=50,"Senior")</f>
        <v>Young Adult</v>
      </c>
      <c r="K483" s="4">
        <v>28</v>
      </c>
      <c r="L483" s="4" t="s">
        <v>23</v>
      </c>
      <c r="M483" s="4">
        <v>4</v>
      </c>
      <c r="N483" s="16">
        <v>300</v>
      </c>
      <c r="O483" s="17">
        <f>M483*N483</f>
        <v>1200</v>
      </c>
      <c r="P483" s="13">
        <f>$O483*$U$4</f>
        <v>18</v>
      </c>
      <c r="Q483" s="13">
        <f>$O483*$U$5</f>
        <v>24</v>
      </c>
      <c r="R483" s="13" cm="1">
        <f t="array" ref="R483">_xlfn.IFS(B483=2023,O483*$U$4,B483=2024,O483*$U$5)</f>
        <v>18</v>
      </c>
    </row>
    <row r="484" spans="1:18">
      <c r="A484" s="2">
        <v>483</v>
      </c>
      <c r="B484" s="4">
        <f t="shared" si="36"/>
        <v>2023</v>
      </c>
      <c r="C484" s="4">
        <f t="shared" si="37"/>
        <v>4</v>
      </c>
      <c r="D484" s="4">
        <f t="shared" si="38"/>
        <v>25</v>
      </c>
      <c r="E484" s="4" t="str">
        <f t="shared" si="39"/>
        <v>Tuesday</v>
      </c>
      <c r="F484" s="4" t="str">
        <f t="shared" si="40"/>
        <v>April</v>
      </c>
      <c r="G484" s="3">
        <v>45041</v>
      </c>
      <c r="H484" s="4" t="s">
        <v>515</v>
      </c>
      <c r="I484" s="4" t="s">
        <v>19</v>
      </c>
      <c r="J484" s="4" t="str" cm="1">
        <f t="array" ref="J484">_xlfn.IFS(K484&lt;30,"Young Adult",K484&lt;50,"Adult",K484&gt;=50,"Senior")</f>
        <v>Senior</v>
      </c>
      <c r="K484" s="4">
        <v>55</v>
      </c>
      <c r="L484" s="4" t="s">
        <v>23</v>
      </c>
      <c r="M484" s="4">
        <v>1</v>
      </c>
      <c r="N484" s="16">
        <v>30</v>
      </c>
      <c r="O484" s="17">
        <f>M484*N484</f>
        <v>30</v>
      </c>
      <c r="P484" s="13">
        <f>$O484*$U$4</f>
        <v>0.44999999999999996</v>
      </c>
      <c r="Q484" s="13">
        <f>$O484*$U$5</f>
        <v>0.6</v>
      </c>
      <c r="R484" s="13" cm="1">
        <f t="array" ref="R484">_xlfn.IFS(B484=2023,O484*$U$4,B484=2024,O484*$U$5)</f>
        <v>0.44999999999999996</v>
      </c>
    </row>
    <row r="485" spans="1:18">
      <c r="A485" s="2">
        <v>484</v>
      </c>
      <c r="B485" s="4">
        <f t="shared" si="36"/>
        <v>2023</v>
      </c>
      <c r="C485" s="4">
        <f t="shared" si="37"/>
        <v>1</v>
      </c>
      <c r="D485" s="4">
        <f t="shared" si="38"/>
        <v>13</v>
      </c>
      <c r="E485" s="4" t="str">
        <f t="shared" si="39"/>
        <v>Friday</v>
      </c>
      <c r="F485" s="4" t="str">
        <f t="shared" si="40"/>
        <v>January</v>
      </c>
      <c r="G485" s="3">
        <v>44939</v>
      </c>
      <c r="H485" s="4" t="s">
        <v>516</v>
      </c>
      <c r="I485" s="4" t="s">
        <v>22</v>
      </c>
      <c r="J485" s="4" t="str" cm="1">
        <f t="array" ref="J485">_xlfn.IFS(K485&lt;30,"Young Adult",K485&lt;50,"Adult",K485&gt;=50,"Senior")</f>
        <v>Young Adult</v>
      </c>
      <c r="K485" s="4">
        <v>19</v>
      </c>
      <c r="L485" s="4" t="s">
        <v>23</v>
      </c>
      <c r="M485" s="4">
        <v>4</v>
      </c>
      <c r="N485" s="16">
        <v>300</v>
      </c>
      <c r="O485" s="17">
        <f>M485*N485</f>
        <v>1200</v>
      </c>
      <c r="P485" s="13">
        <f>$O485*$U$4</f>
        <v>18</v>
      </c>
      <c r="Q485" s="13">
        <f>$O485*$U$5</f>
        <v>24</v>
      </c>
      <c r="R485" s="13" cm="1">
        <f t="array" ref="R485">_xlfn.IFS(B485=2023,O485*$U$4,B485=2024,O485*$U$5)</f>
        <v>18</v>
      </c>
    </row>
    <row r="486" spans="1:18">
      <c r="A486" s="2">
        <v>485</v>
      </c>
      <c r="B486" s="4">
        <f t="shared" si="36"/>
        <v>2023</v>
      </c>
      <c r="C486" s="4">
        <f t="shared" si="37"/>
        <v>12</v>
      </c>
      <c r="D486" s="4">
        <f t="shared" si="38"/>
        <v>4</v>
      </c>
      <c r="E486" s="4" t="str">
        <f t="shared" si="39"/>
        <v>Monday</v>
      </c>
      <c r="F486" s="4" t="str">
        <f t="shared" si="40"/>
        <v>December</v>
      </c>
      <c r="G486" s="3">
        <v>45264</v>
      </c>
      <c r="H486" s="4" t="s">
        <v>517</v>
      </c>
      <c r="I486" s="4" t="s">
        <v>19</v>
      </c>
      <c r="J486" s="4" t="str" cm="1">
        <f t="array" ref="J486">_xlfn.IFS(K486&lt;30,"Young Adult",K486&lt;50,"Adult",K486&gt;=50,"Senior")</f>
        <v>Young Adult</v>
      </c>
      <c r="K486" s="4">
        <v>24</v>
      </c>
      <c r="L486" s="4" t="s">
        <v>26</v>
      </c>
      <c r="M486" s="4">
        <v>1</v>
      </c>
      <c r="N486" s="16">
        <v>30</v>
      </c>
      <c r="O486" s="17">
        <f>M486*N486</f>
        <v>30</v>
      </c>
      <c r="P486" s="13">
        <f>$O486*$U$4</f>
        <v>0.44999999999999996</v>
      </c>
      <c r="Q486" s="13">
        <f>$O486*$U$5</f>
        <v>0.6</v>
      </c>
      <c r="R486" s="13" cm="1">
        <f t="array" ref="R486">_xlfn.IFS(B486=2023,O486*$U$4,B486=2024,O486*$U$5)</f>
        <v>0.44999999999999996</v>
      </c>
    </row>
    <row r="487" spans="1:18">
      <c r="A487" s="2">
        <v>486</v>
      </c>
      <c r="B487" s="4">
        <f t="shared" si="36"/>
        <v>2023</v>
      </c>
      <c r="C487" s="4">
        <f t="shared" si="37"/>
        <v>4</v>
      </c>
      <c r="D487" s="4">
        <f t="shared" si="38"/>
        <v>9</v>
      </c>
      <c r="E487" s="4" t="str">
        <f t="shared" si="39"/>
        <v>Sunday</v>
      </c>
      <c r="F487" s="4" t="str">
        <f t="shared" si="40"/>
        <v>April</v>
      </c>
      <c r="G487" s="3">
        <v>45025</v>
      </c>
      <c r="H487" s="4" t="s">
        <v>518</v>
      </c>
      <c r="I487" s="4" t="s">
        <v>22</v>
      </c>
      <c r="J487" s="4" t="str" cm="1">
        <f t="array" ref="J487">_xlfn.IFS(K487&lt;30,"Young Adult",K487&lt;50,"Adult",K487&gt;=50,"Senior")</f>
        <v>Adult</v>
      </c>
      <c r="K487" s="4">
        <v>35</v>
      </c>
      <c r="L487" s="4" t="s">
        <v>26</v>
      </c>
      <c r="M487" s="4">
        <v>1</v>
      </c>
      <c r="N487" s="16">
        <v>25</v>
      </c>
      <c r="O487" s="17">
        <f>M487*N487</f>
        <v>25</v>
      </c>
      <c r="P487" s="13">
        <f>$O487*$U$4</f>
        <v>0.375</v>
      </c>
      <c r="Q487" s="13">
        <f>$O487*$U$5</f>
        <v>0.5</v>
      </c>
      <c r="R487" s="13" cm="1">
        <f t="array" ref="R487">_xlfn.IFS(B487=2023,O487*$U$4,B487=2024,O487*$U$5)</f>
        <v>0.375</v>
      </c>
    </row>
    <row r="488" spans="1:18">
      <c r="A488" s="2">
        <v>487</v>
      </c>
      <c r="B488" s="4">
        <f t="shared" si="36"/>
        <v>2023</v>
      </c>
      <c r="C488" s="4">
        <f t="shared" si="37"/>
        <v>7</v>
      </c>
      <c r="D488" s="4">
        <f t="shared" si="38"/>
        <v>24</v>
      </c>
      <c r="E488" s="4" t="str">
        <f t="shared" si="39"/>
        <v>Monday</v>
      </c>
      <c r="F488" s="4" t="str">
        <f t="shared" si="40"/>
        <v>July</v>
      </c>
      <c r="G488" s="3">
        <v>45131</v>
      </c>
      <c r="H488" s="4" t="s">
        <v>519</v>
      </c>
      <c r="I488" s="4" t="s">
        <v>19</v>
      </c>
      <c r="J488" s="4" t="str" cm="1">
        <f t="array" ref="J488">_xlfn.IFS(K488&lt;30,"Young Adult",K488&lt;50,"Adult",K488&gt;=50,"Senior")</f>
        <v>Adult</v>
      </c>
      <c r="K488" s="4">
        <v>44</v>
      </c>
      <c r="L488" s="4" t="s">
        <v>23</v>
      </c>
      <c r="M488" s="4">
        <v>4</v>
      </c>
      <c r="N488" s="16">
        <v>500</v>
      </c>
      <c r="O488" s="17">
        <f>M488*N488</f>
        <v>2000</v>
      </c>
      <c r="P488" s="13">
        <f>$O488*$U$4</f>
        <v>30</v>
      </c>
      <c r="Q488" s="13">
        <f>$O488*$U$5</f>
        <v>40</v>
      </c>
      <c r="R488" s="13" cm="1">
        <f t="array" ref="R488">_xlfn.IFS(B488=2023,O488*$U$4,B488=2024,O488*$U$5)</f>
        <v>30</v>
      </c>
    </row>
    <row r="489" spans="1:18">
      <c r="A489" s="2">
        <v>488</v>
      </c>
      <c r="B489" s="4">
        <f t="shared" si="36"/>
        <v>2023</v>
      </c>
      <c r="C489" s="4">
        <f t="shared" si="37"/>
        <v>6</v>
      </c>
      <c r="D489" s="4">
        <f t="shared" si="38"/>
        <v>18</v>
      </c>
      <c r="E489" s="4" t="str">
        <f t="shared" si="39"/>
        <v>Sunday</v>
      </c>
      <c r="F489" s="4" t="str">
        <f t="shared" si="40"/>
        <v>June</v>
      </c>
      <c r="G489" s="3">
        <v>45095</v>
      </c>
      <c r="H489" s="4" t="s">
        <v>520</v>
      </c>
      <c r="I489" s="4" t="s">
        <v>22</v>
      </c>
      <c r="J489" s="4" t="str" cm="1">
        <f t="array" ref="J489">_xlfn.IFS(K489&lt;30,"Young Adult",K489&lt;50,"Adult",K489&gt;=50,"Senior")</f>
        <v>Senior</v>
      </c>
      <c r="K489" s="4">
        <v>51</v>
      </c>
      <c r="L489" s="4" t="s">
        <v>26</v>
      </c>
      <c r="M489" s="4">
        <v>3</v>
      </c>
      <c r="N489" s="16">
        <v>300</v>
      </c>
      <c r="O489" s="17">
        <f>M489*N489</f>
        <v>900</v>
      </c>
      <c r="P489" s="13">
        <f>$O489*$U$4</f>
        <v>13.5</v>
      </c>
      <c r="Q489" s="13">
        <f>$O489*$U$5</f>
        <v>18</v>
      </c>
      <c r="R489" s="13" cm="1">
        <f t="array" ref="R489">_xlfn.IFS(B489=2023,O489*$U$4,B489=2024,O489*$U$5)</f>
        <v>13.5</v>
      </c>
    </row>
    <row r="490" spans="1:18">
      <c r="A490" s="2">
        <v>489</v>
      </c>
      <c r="B490" s="4">
        <f t="shared" si="36"/>
        <v>2023</v>
      </c>
      <c r="C490" s="4">
        <f t="shared" si="37"/>
        <v>5</v>
      </c>
      <c r="D490" s="4">
        <f t="shared" si="38"/>
        <v>23</v>
      </c>
      <c r="E490" s="4" t="str">
        <f t="shared" si="39"/>
        <v>Tuesday</v>
      </c>
      <c r="F490" s="4" t="str">
        <f t="shared" si="40"/>
        <v>May</v>
      </c>
      <c r="G490" s="3">
        <v>45069</v>
      </c>
      <c r="H490" s="4" t="s">
        <v>521</v>
      </c>
      <c r="I490" s="4" t="s">
        <v>19</v>
      </c>
      <c r="J490" s="4" t="str" cm="1">
        <f t="array" ref="J490">_xlfn.IFS(K490&lt;30,"Young Adult",K490&lt;50,"Adult",K490&gt;=50,"Senior")</f>
        <v>Adult</v>
      </c>
      <c r="K490" s="4">
        <v>44</v>
      </c>
      <c r="L490" s="4" t="s">
        <v>26</v>
      </c>
      <c r="M490" s="4">
        <v>1</v>
      </c>
      <c r="N490" s="16">
        <v>30</v>
      </c>
      <c r="O490" s="17">
        <f>M490*N490</f>
        <v>30</v>
      </c>
      <c r="P490" s="13">
        <f>$O490*$U$4</f>
        <v>0.44999999999999996</v>
      </c>
      <c r="Q490" s="13">
        <f>$O490*$U$5</f>
        <v>0.6</v>
      </c>
      <c r="R490" s="13" cm="1">
        <f t="array" ref="R490">_xlfn.IFS(B490=2023,O490*$U$4,B490=2024,O490*$U$5)</f>
        <v>0.44999999999999996</v>
      </c>
    </row>
    <row r="491" spans="1:18">
      <c r="A491" s="2">
        <v>490</v>
      </c>
      <c r="B491" s="4">
        <f t="shared" si="36"/>
        <v>2023</v>
      </c>
      <c r="C491" s="4">
        <f t="shared" si="37"/>
        <v>2</v>
      </c>
      <c r="D491" s="4">
        <f t="shared" si="38"/>
        <v>5</v>
      </c>
      <c r="E491" s="4" t="str">
        <f t="shared" si="39"/>
        <v>Sunday</v>
      </c>
      <c r="F491" s="4" t="str">
        <f t="shared" si="40"/>
        <v>February</v>
      </c>
      <c r="G491" s="3">
        <v>44962</v>
      </c>
      <c r="H491" s="4" t="s">
        <v>522</v>
      </c>
      <c r="I491" s="4" t="s">
        <v>19</v>
      </c>
      <c r="J491" s="4" t="str" cm="1">
        <f t="array" ref="J491">_xlfn.IFS(K491&lt;30,"Young Adult",K491&lt;50,"Adult",K491&gt;=50,"Senior")</f>
        <v>Adult</v>
      </c>
      <c r="K491" s="4">
        <v>34</v>
      </c>
      <c r="L491" s="4" t="s">
        <v>23</v>
      </c>
      <c r="M491" s="4">
        <v>3</v>
      </c>
      <c r="N491" s="16">
        <v>50</v>
      </c>
      <c r="O491" s="17">
        <f>M491*N491</f>
        <v>150</v>
      </c>
      <c r="P491" s="13">
        <f>$O491*$U$4</f>
        <v>2.25</v>
      </c>
      <c r="Q491" s="13">
        <f>$O491*$U$5</f>
        <v>3</v>
      </c>
      <c r="R491" s="13" cm="1">
        <f t="array" ref="R491">_xlfn.IFS(B491=2023,O491*$U$4,B491=2024,O491*$U$5)</f>
        <v>2.25</v>
      </c>
    </row>
    <row r="492" spans="1:18">
      <c r="A492" s="2">
        <v>491</v>
      </c>
      <c r="B492" s="4">
        <f t="shared" si="36"/>
        <v>2023</v>
      </c>
      <c r="C492" s="4">
        <f t="shared" si="37"/>
        <v>5</v>
      </c>
      <c r="D492" s="4">
        <f t="shared" si="38"/>
        <v>23</v>
      </c>
      <c r="E492" s="4" t="str">
        <f t="shared" si="39"/>
        <v>Tuesday</v>
      </c>
      <c r="F492" s="4" t="str">
        <f t="shared" si="40"/>
        <v>May</v>
      </c>
      <c r="G492" s="3">
        <v>45069</v>
      </c>
      <c r="H492" s="4" t="s">
        <v>523</v>
      </c>
      <c r="I492" s="4" t="s">
        <v>22</v>
      </c>
      <c r="J492" s="4" t="str" cm="1">
        <f t="array" ref="J492">_xlfn.IFS(K492&lt;30,"Young Adult",K492&lt;50,"Adult",K492&gt;=50,"Senior")</f>
        <v>Senior</v>
      </c>
      <c r="K492" s="4">
        <v>60</v>
      </c>
      <c r="L492" s="4" t="s">
        <v>26</v>
      </c>
      <c r="M492" s="4">
        <v>3</v>
      </c>
      <c r="N492" s="16">
        <v>300</v>
      </c>
      <c r="O492" s="17">
        <f>M492*N492</f>
        <v>900</v>
      </c>
      <c r="P492" s="13">
        <f>$O492*$U$4</f>
        <v>13.5</v>
      </c>
      <c r="Q492" s="13">
        <f>$O492*$U$5</f>
        <v>18</v>
      </c>
      <c r="R492" s="13" cm="1">
        <f t="array" ref="R492">_xlfn.IFS(B492=2023,O492*$U$4,B492=2024,O492*$U$5)</f>
        <v>13.5</v>
      </c>
    </row>
    <row r="493" spans="1:18">
      <c r="A493" s="2">
        <v>492</v>
      </c>
      <c r="B493" s="4">
        <f t="shared" si="36"/>
        <v>2023</v>
      </c>
      <c r="C493" s="4">
        <f t="shared" si="37"/>
        <v>6</v>
      </c>
      <c r="D493" s="4">
        <f t="shared" si="38"/>
        <v>29</v>
      </c>
      <c r="E493" s="4" t="str">
        <f t="shared" si="39"/>
        <v>Thursday</v>
      </c>
      <c r="F493" s="4" t="str">
        <f t="shared" si="40"/>
        <v>June</v>
      </c>
      <c r="G493" s="3">
        <v>45106</v>
      </c>
      <c r="H493" s="4" t="s">
        <v>524</v>
      </c>
      <c r="I493" s="4" t="s">
        <v>19</v>
      </c>
      <c r="J493" s="4" t="str" cm="1">
        <f t="array" ref="J493">_xlfn.IFS(K493&lt;30,"Young Adult",K493&lt;50,"Adult",K493&gt;=50,"Senior")</f>
        <v>Senior</v>
      </c>
      <c r="K493" s="4">
        <v>61</v>
      </c>
      <c r="L493" s="4" t="s">
        <v>20</v>
      </c>
      <c r="M493" s="4">
        <v>4</v>
      </c>
      <c r="N493" s="16">
        <v>25</v>
      </c>
      <c r="O493" s="17">
        <f>M493*N493</f>
        <v>100</v>
      </c>
      <c r="P493" s="13">
        <f>$O493*$U$4</f>
        <v>1.5</v>
      </c>
      <c r="Q493" s="13">
        <f>$O493*$U$5</f>
        <v>2</v>
      </c>
      <c r="R493" s="13" cm="1">
        <f t="array" ref="R493">_xlfn.IFS(B493=2023,O493*$U$4,B493=2024,O493*$U$5)</f>
        <v>1.5</v>
      </c>
    </row>
    <row r="494" spans="1:18">
      <c r="A494" s="2">
        <v>493</v>
      </c>
      <c r="B494" s="4">
        <f t="shared" si="36"/>
        <v>2023</v>
      </c>
      <c r="C494" s="4">
        <f t="shared" si="37"/>
        <v>11</v>
      </c>
      <c r="D494" s="4">
        <f t="shared" si="38"/>
        <v>25</v>
      </c>
      <c r="E494" s="4" t="str">
        <f t="shared" si="39"/>
        <v>Saturday</v>
      </c>
      <c r="F494" s="4" t="str">
        <f t="shared" si="40"/>
        <v>November</v>
      </c>
      <c r="G494" s="3">
        <v>45255</v>
      </c>
      <c r="H494" s="4" t="s">
        <v>525</v>
      </c>
      <c r="I494" s="4" t="s">
        <v>19</v>
      </c>
      <c r="J494" s="4" t="str" cm="1">
        <f t="array" ref="J494">_xlfn.IFS(K494&lt;30,"Young Adult",K494&lt;50,"Adult",K494&gt;=50,"Senior")</f>
        <v>Adult</v>
      </c>
      <c r="K494" s="4">
        <v>41</v>
      </c>
      <c r="L494" s="4" t="s">
        <v>20</v>
      </c>
      <c r="M494" s="4">
        <v>2</v>
      </c>
      <c r="N494" s="16">
        <v>25</v>
      </c>
      <c r="O494" s="17">
        <f>M494*N494</f>
        <v>50</v>
      </c>
      <c r="P494" s="13">
        <f>$O494*$U$4</f>
        <v>0.75</v>
      </c>
      <c r="Q494" s="13">
        <f>$O494*$U$5</f>
        <v>1</v>
      </c>
      <c r="R494" s="13" cm="1">
        <f t="array" ref="R494">_xlfn.IFS(B494=2023,O494*$U$4,B494=2024,O494*$U$5)</f>
        <v>0.75</v>
      </c>
    </row>
    <row r="495" spans="1:18">
      <c r="A495" s="2">
        <v>494</v>
      </c>
      <c r="B495" s="4">
        <f t="shared" si="36"/>
        <v>2023</v>
      </c>
      <c r="C495" s="4">
        <f t="shared" si="37"/>
        <v>9</v>
      </c>
      <c r="D495" s="4">
        <f t="shared" si="38"/>
        <v>18</v>
      </c>
      <c r="E495" s="4" t="str">
        <f t="shared" si="39"/>
        <v>Monday</v>
      </c>
      <c r="F495" s="4" t="str">
        <f t="shared" si="40"/>
        <v>September</v>
      </c>
      <c r="G495" s="3">
        <v>45187</v>
      </c>
      <c r="H495" s="4" t="s">
        <v>526</v>
      </c>
      <c r="I495" s="4" t="s">
        <v>22</v>
      </c>
      <c r="J495" s="4" t="str" cm="1">
        <f t="array" ref="J495">_xlfn.IFS(K495&lt;30,"Young Adult",K495&lt;50,"Adult",K495&gt;=50,"Senior")</f>
        <v>Adult</v>
      </c>
      <c r="K495" s="4">
        <v>42</v>
      </c>
      <c r="L495" s="4" t="s">
        <v>20</v>
      </c>
      <c r="M495" s="4">
        <v>4</v>
      </c>
      <c r="N495" s="16">
        <v>50</v>
      </c>
      <c r="O495" s="17">
        <f>M495*N495</f>
        <v>200</v>
      </c>
      <c r="P495" s="13">
        <f>$O495*$U$4</f>
        <v>3</v>
      </c>
      <c r="Q495" s="13">
        <f>$O495*$U$5</f>
        <v>4</v>
      </c>
      <c r="R495" s="13" cm="1">
        <f t="array" ref="R495">_xlfn.IFS(B495=2023,O495*$U$4,B495=2024,O495*$U$5)</f>
        <v>3</v>
      </c>
    </row>
    <row r="496" spans="1:18">
      <c r="A496" s="2">
        <v>495</v>
      </c>
      <c r="B496" s="4">
        <f t="shared" si="36"/>
        <v>2023</v>
      </c>
      <c r="C496" s="4">
        <f t="shared" si="37"/>
        <v>7</v>
      </c>
      <c r="D496" s="4">
        <f t="shared" si="38"/>
        <v>24</v>
      </c>
      <c r="E496" s="4" t="str">
        <f t="shared" si="39"/>
        <v>Monday</v>
      </c>
      <c r="F496" s="4" t="str">
        <f t="shared" si="40"/>
        <v>July</v>
      </c>
      <c r="G496" s="3">
        <v>45131</v>
      </c>
      <c r="H496" s="4" t="s">
        <v>527</v>
      </c>
      <c r="I496" s="4" t="s">
        <v>19</v>
      </c>
      <c r="J496" s="4" t="str" cm="1">
        <f t="array" ref="J496">_xlfn.IFS(K496&lt;30,"Young Adult",K496&lt;50,"Adult",K496&gt;=50,"Senior")</f>
        <v>Young Adult</v>
      </c>
      <c r="K496" s="4">
        <v>24</v>
      </c>
      <c r="L496" s="4" t="s">
        <v>20</v>
      </c>
      <c r="M496" s="4">
        <v>2</v>
      </c>
      <c r="N496" s="16">
        <v>30</v>
      </c>
      <c r="O496" s="17">
        <f>M496*N496</f>
        <v>60</v>
      </c>
      <c r="P496" s="13">
        <f>$O496*$U$4</f>
        <v>0.89999999999999991</v>
      </c>
      <c r="Q496" s="13">
        <f>$O496*$U$5</f>
        <v>1.2</v>
      </c>
      <c r="R496" s="13" cm="1">
        <f t="array" ref="R496">_xlfn.IFS(B496=2023,O496*$U$4,B496=2024,O496*$U$5)</f>
        <v>0.89999999999999991</v>
      </c>
    </row>
    <row r="497" spans="1:18">
      <c r="A497" s="2">
        <v>496</v>
      </c>
      <c r="B497" s="4">
        <f t="shared" si="36"/>
        <v>2023</v>
      </c>
      <c r="C497" s="4">
        <f t="shared" si="37"/>
        <v>12</v>
      </c>
      <c r="D497" s="4">
        <f t="shared" si="38"/>
        <v>14</v>
      </c>
      <c r="E497" s="4" t="str">
        <f t="shared" si="39"/>
        <v>Thursday</v>
      </c>
      <c r="F497" s="4" t="str">
        <f t="shared" si="40"/>
        <v>December</v>
      </c>
      <c r="G497" s="3">
        <v>45274</v>
      </c>
      <c r="H497" s="4" t="s">
        <v>528</v>
      </c>
      <c r="I497" s="4" t="s">
        <v>19</v>
      </c>
      <c r="J497" s="4" t="str" cm="1">
        <f t="array" ref="J497">_xlfn.IFS(K497&lt;30,"Young Adult",K497&lt;50,"Adult",K497&gt;=50,"Senior")</f>
        <v>Young Adult</v>
      </c>
      <c r="K497" s="4">
        <v>23</v>
      </c>
      <c r="L497" s="4" t="s">
        <v>23</v>
      </c>
      <c r="M497" s="4">
        <v>2</v>
      </c>
      <c r="N497" s="16">
        <v>300</v>
      </c>
      <c r="O497" s="17">
        <f>M497*N497</f>
        <v>600</v>
      </c>
      <c r="P497" s="13">
        <f>$O497*$U$4</f>
        <v>9</v>
      </c>
      <c r="Q497" s="13">
        <f>$O497*$U$5</f>
        <v>12</v>
      </c>
      <c r="R497" s="13" cm="1">
        <f t="array" ref="R497">_xlfn.IFS(B497=2023,O497*$U$4,B497=2024,O497*$U$5)</f>
        <v>9</v>
      </c>
    </row>
    <row r="498" spans="1:18">
      <c r="A498" s="2">
        <v>497</v>
      </c>
      <c r="B498" s="4">
        <f t="shared" si="36"/>
        <v>2023</v>
      </c>
      <c r="C498" s="4">
        <f t="shared" si="37"/>
        <v>10</v>
      </c>
      <c r="D498" s="4">
        <f t="shared" si="38"/>
        <v>2</v>
      </c>
      <c r="E498" s="4" t="str">
        <f t="shared" si="39"/>
        <v>Monday</v>
      </c>
      <c r="F498" s="4" t="str">
        <f t="shared" si="40"/>
        <v>October</v>
      </c>
      <c r="G498" s="3">
        <v>45201</v>
      </c>
      <c r="H498" s="4" t="s">
        <v>529</v>
      </c>
      <c r="I498" s="4" t="s">
        <v>19</v>
      </c>
      <c r="J498" s="4" t="str" cm="1">
        <f t="array" ref="J498">_xlfn.IFS(K498&lt;30,"Young Adult",K498&lt;50,"Adult",K498&gt;=50,"Senior")</f>
        <v>Adult</v>
      </c>
      <c r="K498" s="4">
        <v>41</v>
      </c>
      <c r="L498" s="4" t="s">
        <v>23</v>
      </c>
      <c r="M498" s="4">
        <v>4</v>
      </c>
      <c r="N498" s="16">
        <v>30</v>
      </c>
      <c r="O498" s="17">
        <f>M498*N498</f>
        <v>120</v>
      </c>
      <c r="P498" s="13">
        <f>$O498*$U$4</f>
        <v>1.7999999999999998</v>
      </c>
      <c r="Q498" s="13">
        <f>$O498*$U$5</f>
        <v>2.4</v>
      </c>
      <c r="R498" s="13" cm="1">
        <f t="array" ref="R498">_xlfn.IFS(B498=2023,O498*$U$4,B498=2024,O498*$U$5)</f>
        <v>1.7999999999999998</v>
      </c>
    </row>
    <row r="499" spans="1:18">
      <c r="A499" s="2">
        <v>498</v>
      </c>
      <c r="B499" s="4">
        <f t="shared" si="36"/>
        <v>2023</v>
      </c>
      <c r="C499" s="4">
        <f t="shared" si="37"/>
        <v>6</v>
      </c>
      <c r="D499" s="4">
        <f t="shared" si="38"/>
        <v>19</v>
      </c>
      <c r="E499" s="4" t="str">
        <f t="shared" si="39"/>
        <v>Monday</v>
      </c>
      <c r="F499" s="4" t="str">
        <f t="shared" si="40"/>
        <v>June</v>
      </c>
      <c r="G499" s="3">
        <v>45096</v>
      </c>
      <c r="H499" s="4" t="s">
        <v>530</v>
      </c>
      <c r="I499" s="4" t="s">
        <v>22</v>
      </c>
      <c r="J499" s="4" t="str" cm="1">
        <f t="array" ref="J499">_xlfn.IFS(K499&lt;30,"Young Adult",K499&lt;50,"Adult",K499&gt;=50,"Senior")</f>
        <v>Senior</v>
      </c>
      <c r="K499" s="4">
        <v>50</v>
      </c>
      <c r="L499" s="4" t="s">
        <v>23</v>
      </c>
      <c r="M499" s="4">
        <v>4</v>
      </c>
      <c r="N499" s="16">
        <v>25</v>
      </c>
      <c r="O499" s="17">
        <f>M499*N499</f>
        <v>100</v>
      </c>
      <c r="P499" s="13">
        <f>$O499*$U$4</f>
        <v>1.5</v>
      </c>
      <c r="Q499" s="13">
        <f>$O499*$U$5</f>
        <v>2</v>
      </c>
      <c r="R499" s="13" cm="1">
        <f t="array" ref="R499">_xlfn.IFS(B499=2023,O499*$U$4,B499=2024,O499*$U$5)</f>
        <v>1.5</v>
      </c>
    </row>
    <row r="500" spans="1:18">
      <c r="A500" s="2">
        <v>499</v>
      </c>
      <c r="B500" s="4">
        <f t="shared" si="36"/>
        <v>2023</v>
      </c>
      <c r="C500" s="4">
        <f t="shared" si="37"/>
        <v>1</v>
      </c>
      <c r="D500" s="4">
        <f t="shared" si="38"/>
        <v>15</v>
      </c>
      <c r="E500" s="4" t="str">
        <f t="shared" si="39"/>
        <v>Sunday</v>
      </c>
      <c r="F500" s="4" t="str">
        <f t="shared" si="40"/>
        <v>January</v>
      </c>
      <c r="G500" s="3">
        <v>44941</v>
      </c>
      <c r="H500" s="4" t="s">
        <v>531</v>
      </c>
      <c r="I500" s="4" t="s">
        <v>19</v>
      </c>
      <c r="J500" s="4" t="str" cm="1">
        <f t="array" ref="J500">_xlfn.IFS(K500&lt;30,"Young Adult",K500&lt;50,"Adult",K500&gt;=50,"Senior")</f>
        <v>Adult</v>
      </c>
      <c r="K500" s="4">
        <v>46</v>
      </c>
      <c r="L500" s="4" t="s">
        <v>20</v>
      </c>
      <c r="M500" s="4">
        <v>2</v>
      </c>
      <c r="N500" s="16">
        <v>30</v>
      </c>
      <c r="O500" s="17">
        <f>M500*N500</f>
        <v>60</v>
      </c>
      <c r="P500" s="13">
        <f>$O500*$U$4</f>
        <v>0.89999999999999991</v>
      </c>
      <c r="Q500" s="13">
        <f>$O500*$U$5</f>
        <v>1.2</v>
      </c>
      <c r="R500" s="13" cm="1">
        <f t="array" ref="R500">_xlfn.IFS(B500=2023,O500*$U$4,B500=2024,O500*$U$5)</f>
        <v>0.89999999999999991</v>
      </c>
    </row>
    <row r="501" spans="1:18">
      <c r="A501" s="2">
        <v>500</v>
      </c>
      <c r="B501" s="4">
        <f t="shared" si="36"/>
        <v>2023</v>
      </c>
      <c r="C501" s="4">
        <f t="shared" si="37"/>
        <v>3</v>
      </c>
      <c r="D501" s="4">
        <f t="shared" si="38"/>
        <v>1</v>
      </c>
      <c r="E501" s="4" t="str">
        <f t="shared" si="39"/>
        <v>Wednesday</v>
      </c>
      <c r="F501" s="4" t="str">
        <f t="shared" si="40"/>
        <v>March</v>
      </c>
      <c r="G501" s="3">
        <v>44986</v>
      </c>
      <c r="H501" s="4" t="s">
        <v>532</v>
      </c>
      <c r="I501" s="4" t="s">
        <v>22</v>
      </c>
      <c r="J501" s="4" t="str" cm="1">
        <f t="array" ref="J501">_xlfn.IFS(K501&lt;30,"Young Adult",K501&lt;50,"Adult",K501&gt;=50,"Senior")</f>
        <v>Senior</v>
      </c>
      <c r="K501" s="4">
        <v>60</v>
      </c>
      <c r="L501" s="4" t="s">
        <v>20</v>
      </c>
      <c r="M501" s="4">
        <v>4</v>
      </c>
      <c r="N501" s="16">
        <v>25</v>
      </c>
      <c r="O501" s="17">
        <f>M501*N501</f>
        <v>100</v>
      </c>
      <c r="P501" s="13">
        <f>$O501*$U$4</f>
        <v>1.5</v>
      </c>
      <c r="Q501" s="13">
        <f>$O501*$U$5</f>
        <v>2</v>
      </c>
      <c r="R501" s="13" cm="1">
        <f t="array" ref="R501">_xlfn.IFS(B501=2023,O501*$U$4,B501=2024,O501*$U$5)</f>
        <v>1.5</v>
      </c>
    </row>
    <row r="502" spans="1:18">
      <c r="A502" s="2">
        <v>501</v>
      </c>
      <c r="B502" s="4">
        <f t="shared" si="36"/>
        <v>2023</v>
      </c>
      <c r="C502" s="4">
        <f t="shared" si="37"/>
        <v>5</v>
      </c>
      <c r="D502" s="4">
        <f t="shared" si="38"/>
        <v>14</v>
      </c>
      <c r="E502" s="4" t="str">
        <f t="shared" si="39"/>
        <v>Sunday</v>
      </c>
      <c r="F502" s="4" t="str">
        <f t="shared" si="40"/>
        <v>May</v>
      </c>
      <c r="G502" s="3">
        <v>45060</v>
      </c>
      <c r="H502" s="4" t="s">
        <v>533</v>
      </c>
      <c r="I502" s="4" t="s">
        <v>19</v>
      </c>
      <c r="J502" s="4" t="str" cm="1">
        <f t="array" ref="J502">_xlfn.IFS(K502&lt;30,"Young Adult",K502&lt;50,"Adult",K502&gt;=50,"Senior")</f>
        <v>Adult</v>
      </c>
      <c r="K502" s="4">
        <v>39</v>
      </c>
      <c r="L502" s="4" t="s">
        <v>26</v>
      </c>
      <c r="M502" s="4">
        <v>2</v>
      </c>
      <c r="N502" s="16">
        <v>30</v>
      </c>
      <c r="O502" s="17">
        <f>M502*N502</f>
        <v>60</v>
      </c>
      <c r="P502" s="13">
        <f>$O502*$U$4</f>
        <v>0.89999999999999991</v>
      </c>
      <c r="Q502" s="13">
        <f>$O502*$U$5</f>
        <v>1.2</v>
      </c>
      <c r="R502" s="13" cm="1">
        <f t="array" ref="R502">_xlfn.IFS(B502=2023,O502*$U$4,B502=2024,O502*$U$5)</f>
        <v>0.89999999999999991</v>
      </c>
    </row>
    <row r="503" spans="1:18">
      <c r="A503" s="2">
        <v>502</v>
      </c>
      <c r="B503" s="4">
        <f t="shared" si="36"/>
        <v>2023</v>
      </c>
      <c r="C503" s="4">
        <f t="shared" si="37"/>
        <v>4</v>
      </c>
      <c r="D503" s="4">
        <f t="shared" si="38"/>
        <v>2</v>
      </c>
      <c r="E503" s="4" t="str">
        <f t="shared" si="39"/>
        <v>Sunday</v>
      </c>
      <c r="F503" s="4" t="str">
        <f t="shared" si="40"/>
        <v>April</v>
      </c>
      <c r="G503" s="3">
        <v>45018</v>
      </c>
      <c r="H503" s="4" t="s">
        <v>534</v>
      </c>
      <c r="I503" s="4" t="s">
        <v>19</v>
      </c>
      <c r="J503" s="4" t="str" cm="1">
        <f t="array" ref="J503">_xlfn.IFS(K503&lt;30,"Young Adult",K503&lt;50,"Adult",K503&gt;=50,"Senior")</f>
        <v>Adult</v>
      </c>
      <c r="K503" s="4">
        <v>43</v>
      </c>
      <c r="L503" s="4" t="s">
        <v>26</v>
      </c>
      <c r="M503" s="4">
        <v>3</v>
      </c>
      <c r="N503" s="16">
        <v>50</v>
      </c>
      <c r="O503" s="17">
        <f>M503*N503</f>
        <v>150</v>
      </c>
      <c r="P503" s="13">
        <f>$O503*$U$4</f>
        <v>2.25</v>
      </c>
      <c r="Q503" s="13">
        <f>$O503*$U$5</f>
        <v>3</v>
      </c>
      <c r="R503" s="13" cm="1">
        <f t="array" ref="R503">_xlfn.IFS(B503=2023,O503*$U$4,B503=2024,O503*$U$5)</f>
        <v>2.25</v>
      </c>
    </row>
    <row r="504" spans="1:18">
      <c r="A504" s="2">
        <v>503</v>
      </c>
      <c r="B504" s="4">
        <f t="shared" si="36"/>
        <v>2023</v>
      </c>
      <c r="C504" s="4">
        <f t="shared" si="37"/>
        <v>10</v>
      </c>
      <c r="D504" s="4">
        <f t="shared" si="38"/>
        <v>25</v>
      </c>
      <c r="E504" s="4" t="str">
        <f t="shared" si="39"/>
        <v>Wednesday</v>
      </c>
      <c r="F504" s="4" t="str">
        <f t="shared" si="40"/>
        <v>October</v>
      </c>
      <c r="G504" s="3">
        <v>45224</v>
      </c>
      <c r="H504" s="4" t="s">
        <v>535</v>
      </c>
      <c r="I504" s="4" t="s">
        <v>19</v>
      </c>
      <c r="J504" s="4" t="str" cm="1">
        <f t="array" ref="J504">_xlfn.IFS(K504&lt;30,"Young Adult",K504&lt;50,"Adult",K504&gt;=50,"Senior")</f>
        <v>Adult</v>
      </c>
      <c r="K504" s="4">
        <v>45</v>
      </c>
      <c r="L504" s="4" t="s">
        <v>20</v>
      </c>
      <c r="M504" s="4">
        <v>4</v>
      </c>
      <c r="N504" s="16">
        <v>500</v>
      </c>
      <c r="O504" s="17">
        <f>M504*N504</f>
        <v>2000</v>
      </c>
      <c r="P504" s="13">
        <f>$O504*$U$4</f>
        <v>30</v>
      </c>
      <c r="Q504" s="13">
        <f>$O504*$U$5</f>
        <v>40</v>
      </c>
      <c r="R504" s="13" cm="1">
        <f t="array" ref="R504">_xlfn.IFS(B504=2023,O504*$U$4,B504=2024,O504*$U$5)</f>
        <v>30</v>
      </c>
    </row>
    <row r="505" spans="1:18">
      <c r="A505" s="2">
        <v>504</v>
      </c>
      <c r="B505" s="4">
        <f t="shared" si="36"/>
        <v>2023</v>
      </c>
      <c r="C505" s="4">
        <f t="shared" si="37"/>
        <v>5</v>
      </c>
      <c r="D505" s="4">
        <f t="shared" si="38"/>
        <v>16</v>
      </c>
      <c r="E505" s="4" t="str">
        <f t="shared" si="39"/>
        <v>Tuesday</v>
      </c>
      <c r="F505" s="4" t="str">
        <f t="shared" si="40"/>
        <v>May</v>
      </c>
      <c r="G505" s="3">
        <v>45062</v>
      </c>
      <c r="H505" s="4" t="s">
        <v>536</v>
      </c>
      <c r="I505" s="4" t="s">
        <v>22</v>
      </c>
      <c r="J505" s="4" t="str" cm="1">
        <f t="array" ref="J505">_xlfn.IFS(K505&lt;30,"Young Adult",K505&lt;50,"Adult",K505&gt;=50,"Senior")</f>
        <v>Adult</v>
      </c>
      <c r="K505" s="4">
        <v>38</v>
      </c>
      <c r="L505" s="4" t="s">
        <v>20</v>
      </c>
      <c r="M505" s="4">
        <v>3</v>
      </c>
      <c r="N505" s="16">
        <v>50</v>
      </c>
      <c r="O505" s="17">
        <f>M505*N505</f>
        <v>150</v>
      </c>
      <c r="P505" s="13">
        <f>$O505*$U$4</f>
        <v>2.25</v>
      </c>
      <c r="Q505" s="13">
        <f>$O505*$U$5</f>
        <v>3</v>
      </c>
      <c r="R505" s="13" cm="1">
        <f t="array" ref="R505">_xlfn.IFS(B505=2023,O505*$U$4,B505=2024,O505*$U$5)</f>
        <v>2.25</v>
      </c>
    </row>
    <row r="506" spans="1:18">
      <c r="A506" s="2">
        <v>505</v>
      </c>
      <c r="B506" s="4">
        <f t="shared" si="36"/>
        <v>2023</v>
      </c>
      <c r="C506" s="4">
        <f t="shared" si="37"/>
        <v>1</v>
      </c>
      <c r="D506" s="4">
        <f t="shared" si="38"/>
        <v>20</v>
      </c>
      <c r="E506" s="4" t="str">
        <f t="shared" si="39"/>
        <v>Friday</v>
      </c>
      <c r="F506" s="4" t="str">
        <f t="shared" si="40"/>
        <v>January</v>
      </c>
      <c r="G506" s="3">
        <v>44946</v>
      </c>
      <c r="H506" s="4" t="s">
        <v>537</v>
      </c>
      <c r="I506" s="4" t="s">
        <v>19</v>
      </c>
      <c r="J506" s="4" t="str" cm="1">
        <f t="array" ref="J506">_xlfn.IFS(K506&lt;30,"Young Adult",K506&lt;50,"Adult",K506&gt;=50,"Senior")</f>
        <v>Young Adult</v>
      </c>
      <c r="K506" s="4">
        <v>24</v>
      </c>
      <c r="L506" s="4" t="s">
        <v>20</v>
      </c>
      <c r="M506" s="4">
        <v>1</v>
      </c>
      <c r="N506" s="16">
        <v>50</v>
      </c>
      <c r="O506" s="17">
        <f>M506*N506</f>
        <v>50</v>
      </c>
      <c r="P506" s="13">
        <f>$O506*$U$4</f>
        <v>0.75</v>
      </c>
      <c r="Q506" s="13">
        <f>$O506*$U$5</f>
        <v>1</v>
      </c>
      <c r="R506" s="13" cm="1">
        <f t="array" ref="R506">_xlfn.IFS(B506=2023,O506*$U$4,B506=2024,O506*$U$5)</f>
        <v>0.75</v>
      </c>
    </row>
    <row r="507" spans="1:18">
      <c r="A507" s="2">
        <v>506</v>
      </c>
      <c r="B507" s="4">
        <f t="shared" si="36"/>
        <v>2023</v>
      </c>
      <c r="C507" s="4">
        <f t="shared" si="37"/>
        <v>2</v>
      </c>
      <c r="D507" s="4">
        <f t="shared" si="38"/>
        <v>25</v>
      </c>
      <c r="E507" s="4" t="str">
        <f t="shared" si="39"/>
        <v>Saturday</v>
      </c>
      <c r="F507" s="4" t="str">
        <f t="shared" si="40"/>
        <v>February</v>
      </c>
      <c r="G507" s="3">
        <v>44982</v>
      </c>
      <c r="H507" s="4" t="s">
        <v>538</v>
      </c>
      <c r="I507" s="4" t="s">
        <v>19</v>
      </c>
      <c r="J507" s="4" t="str" cm="1">
        <f t="array" ref="J507">_xlfn.IFS(K507&lt;30,"Young Adult",K507&lt;50,"Adult",K507&gt;=50,"Senior")</f>
        <v>Adult</v>
      </c>
      <c r="K507" s="4">
        <v>34</v>
      </c>
      <c r="L507" s="4" t="s">
        <v>20</v>
      </c>
      <c r="M507" s="4">
        <v>3</v>
      </c>
      <c r="N507" s="16">
        <v>500</v>
      </c>
      <c r="O507" s="17">
        <f>M507*N507</f>
        <v>1500</v>
      </c>
      <c r="P507" s="13">
        <f>$O507*$U$4</f>
        <v>22.5</v>
      </c>
      <c r="Q507" s="13">
        <f>$O507*$U$5</f>
        <v>30</v>
      </c>
      <c r="R507" s="13" cm="1">
        <f t="array" ref="R507">_xlfn.IFS(B507=2023,O507*$U$4,B507=2024,O507*$U$5)</f>
        <v>22.5</v>
      </c>
    </row>
    <row r="508" spans="1:18">
      <c r="A508" s="2">
        <v>507</v>
      </c>
      <c r="B508" s="4">
        <f t="shared" si="36"/>
        <v>2023</v>
      </c>
      <c r="C508" s="4">
        <f t="shared" si="37"/>
        <v>11</v>
      </c>
      <c r="D508" s="4">
        <f t="shared" si="38"/>
        <v>2</v>
      </c>
      <c r="E508" s="4" t="str">
        <f t="shared" si="39"/>
        <v>Thursday</v>
      </c>
      <c r="F508" s="4" t="str">
        <f t="shared" si="40"/>
        <v>November</v>
      </c>
      <c r="G508" s="3">
        <v>45232</v>
      </c>
      <c r="H508" s="4" t="s">
        <v>539</v>
      </c>
      <c r="I508" s="4" t="s">
        <v>22</v>
      </c>
      <c r="J508" s="4" t="str" cm="1">
        <f t="array" ref="J508">_xlfn.IFS(K508&lt;30,"Young Adult",K508&lt;50,"Adult",K508&gt;=50,"Senior")</f>
        <v>Adult</v>
      </c>
      <c r="K508" s="4">
        <v>37</v>
      </c>
      <c r="L508" s="4" t="s">
        <v>26</v>
      </c>
      <c r="M508" s="4">
        <v>3</v>
      </c>
      <c r="N508" s="16">
        <v>500</v>
      </c>
      <c r="O508" s="17">
        <f>M508*N508</f>
        <v>1500</v>
      </c>
      <c r="P508" s="13">
        <f>$O508*$U$4</f>
        <v>22.5</v>
      </c>
      <c r="Q508" s="13">
        <f>$O508*$U$5</f>
        <v>30</v>
      </c>
      <c r="R508" s="13" cm="1">
        <f t="array" ref="R508">_xlfn.IFS(B508=2023,O508*$U$4,B508=2024,O508*$U$5)</f>
        <v>22.5</v>
      </c>
    </row>
    <row r="509" spans="1:18">
      <c r="A509" s="2">
        <v>508</v>
      </c>
      <c r="B509" s="4">
        <f t="shared" si="36"/>
        <v>2023</v>
      </c>
      <c r="C509" s="4">
        <f t="shared" si="37"/>
        <v>8</v>
      </c>
      <c r="D509" s="4">
        <f t="shared" si="38"/>
        <v>11</v>
      </c>
      <c r="E509" s="4" t="str">
        <f t="shared" si="39"/>
        <v>Friday</v>
      </c>
      <c r="F509" s="4" t="str">
        <f t="shared" si="40"/>
        <v>August</v>
      </c>
      <c r="G509" s="3">
        <v>45149</v>
      </c>
      <c r="H509" s="4" t="s">
        <v>540</v>
      </c>
      <c r="I509" s="4" t="s">
        <v>19</v>
      </c>
      <c r="J509" s="4" t="str" cm="1">
        <f t="array" ref="J509">_xlfn.IFS(K509&lt;30,"Young Adult",K509&lt;50,"Adult",K509&gt;=50,"Senior")</f>
        <v>Senior</v>
      </c>
      <c r="K509" s="4">
        <v>58</v>
      </c>
      <c r="L509" s="4" t="s">
        <v>20</v>
      </c>
      <c r="M509" s="4">
        <v>2</v>
      </c>
      <c r="N509" s="16">
        <v>300</v>
      </c>
      <c r="O509" s="17">
        <f>M509*N509</f>
        <v>600</v>
      </c>
      <c r="P509" s="13">
        <f>$O509*$U$4</f>
        <v>9</v>
      </c>
      <c r="Q509" s="13">
        <f>$O509*$U$5</f>
        <v>12</v>
      </c>
      <c r="R509" s="13" cm="1">
        <f t="array" ref="R509">_xlfn.IFS(B509=2023,O509*$U$4,B509=2024,O509*$U$5)</f>
        <v>9</v>
      </c>
    </row>
    <row r="510" spans="1:18">
      <c r="A510" s="2">
        <v>509</v>
      </c>
      <c r="B510" s="4">
        <f t="shared" si="36"/>
        <v>2023</v>
      </c>
      <c r="C510" s="4">
        <f t="shared" si="37"/>
        <v>6</v>
      </c>
      <c r="D510" s="4">
        <f t="shared" si="38"/>
        <v>26</v>
      </c>
      <c r="E510" s="4" t="str">
        <f t="shared" si="39"/>
        <v>Monday</v>
      </c>
      <c r="F510" s="4" t="str">
        <f t="shared" si="40"/>
        <v>June</v>
      </c>
      <c r="G510" s="3">
        <v>45103</v>
      </c>
      <c r="H510" s="4" t="s">
        <v>541</v>
      </c>
      <c r="I510" s="4" t="s">
        <v>22</v>
      </c>
      <c r="J510" s="4" t="str" cm="1">
        <f t="array" ref="J510">_xlfn.IFS(K510&lt;30,"Young Adult",K510&lt;50,"Adult",K510&gt;=50,"Senior")</f>
        <v>Adult</v>
      </c>
      <c r="K510" s="4">
        <v>37</v>
      </c>
      <c r="L510" s="4" t="s">
        <v>26</v>
      </c>
      <c r="M510" s="4">
        <v>3</v>
      </c>
      <c r="N510" s="16">
        <v>300</v>
      </c>
      <c r="O510" s="17">
        <f>M510*N510</f>
        <v>900</v>
      </c>
      <c r="P510" s="13">
        <f>$O510*$U$4</f>
        <v>13.5</v>
      </c>
      <c r="Q510" s="13">
        <f>$O510*$U$5</f>
        <v>18</v>
      </c>
      <c r="R510" s="13" cm="1">
        <f t="array" ref="R510">_xlfn.IFS(B510=2023,O510*$U$4,B510=2024,O510*$U$5)</f>
        <v>13.5</v>
      </c>
    </row>
    <row r="511" spans="1:18">
      <c r="A511" s="2">
        <v>510</v>
      </c>
      <c r="B511" s="4">
        <f t="shared" si="36"/>
        <v>2023</v>
      </c>
      <c r="C511" s="4">
        <f t="shared" si="37"/>
        <v>6</v>
      </c>
      <c r="D511" s="4">
        <f t="shared" si="38"/>
        <v>10</v>
      </c>
      <c r="E511" s="4" t="str">
        <f t="shared" si="39"/>
        <v>Saturday</v>
      </c>
      <c r="F511" s="4" t="str">
        <f t="shared" si="40"/>
        <v>June</v>
      </c>
      <c r="G511" s="3">
        <v>45087</v>
      </c>
      <c r="H511" s="4" t="s">
        <v>542</v>
      </c>
      <c r="I511" s="4" t="s">
        <v>22</v>
      </c>
      <c r="J511" s="4" t="str" cm="1">
        <f t="array" ref="J511">_xlfn.IFS(K511&lt;30,"Young Adult",K511&lt;50,"Adult",K511&gt;=50,"Senior")</f>
        <v>Adult</v>
      </c>
      <c r="K511" s="4">
        <v>39</v>
      </c>
      <c r="L511" s="4" t="s">
        <v>20</v>
      </c>
      <c r="M511" s="4">
        <v>4</v>
      </c>
      <c r="N511" s="16">
        <v>50</v>
      </c>
      <c r="O511" s="17">
        <f>M511*N511</f>
        <v>200</v>
      </c>
      <c r="P511" s="13">
        <f>$O511*$U$4</f>
        <v>3</v>
      </c>
      <c r="Q511" s="13">
        <f>$O511*$U$5</f>
        <v>4</v>
      </c>
      <c r="R511" s="13" cm="1">
        <f t="array" ref="R511">_xlfn.IFS(B511=2023,O511*$U$4,B511=2024,O511*$U$5)</f>
        <v>3</v>
      </c>
    </row>
    <row r="512" spans="1:18">
      <c r="A512" s="2">
        <v>511</v>
      </c>
      <c r="B512" s="4">
        <f t="shared" si="36"/>
        <v>2023</v>
      </c>
      <c r="C512" s="4">
        <f t="shared" si="37"/>
        <v>8</v>
      </c>
      <c r="D512" s="4">
        <f t="shared" si="38"/>
        <v>12</v>
      </c>
      <c r="E512" s="4" t="str">
        <f t="shared" si="39"/>
        <v>Saturday</v>
      </c>
      <c r="F512" s="4" t="str">
        <f t="shared" si="40"/>
        <v>August</v>
      </c>
      <c r="G512" s="3">
        <v>45150</v>
      </c>
      <c r="H512" s="4" t="s">
        <v>543</v>
      </c>
      <c r="I512" s="4" t="s">
        <v>19</v>
      </c>
      <c r="J512" s="4" t="str" cm="1">
        <f t="array" ref="J512">_xlfn.IFS(K512&lt;30,"Young Adult",K512&lt;50,"Adult",K512&gt;=50,"Senior")</f>
        <v>Adult</v>
      </c>
      <c r="K512" s="4">
        <v>45</v>
      </c>
      <c r="L512" s="4" t="s">
        <v>20</v>
      </c>
      <c r="M512" s="4">
        <v>2</v>
      </c>
      <c r="N512" s="16">
        <v>50</v>
      </c>
      <c r="O512" s="17">
        <f>M512*N512</f>
        <v>100</v>
      </c>
      <c r="P512" s="13">
        <f>$O512*$U$4</f>
        <v>1.5</v>
      </c>
      <c r="Q512" s="13">
        <f>$O512*$U$5</f>
        <v>2</v>
      </c>
      <c r="R512" s="13" cm="1">
        <f t="array" ref="R512">_xlfn.IFS(B512=2023,O512*$U$4,B512=2024,O512*$U$5)</f>
        <v>1.5</v>
      </c>
    </row>
    <row r="513" spans="1:18">
      <c r="A513" s="2">
        <v>512</v>
      </c>
      <c r="B513" s="4">
        <f t="shared" si="36"/>
        <v>2023</v>
      </c>
      <c r="C513" s="4">
        <f t="shared" si="37"/>
        <v>11</v>
      </c>
      <c r="D513" s="4">
        <f t="shared" si="38"/>
        <v>7</v>
      </c>
      <c r="E513" s="4" t="str">
        <f t="shared" si="39"/>
        <v>Tuesday</v>
      </c>
      <c r="F513" s="4" t="str">
        <f t="shared" si="40"/>
        <v>November</v>
      </c>
      <c r="G513" s="3">
        <v>45237</v>
      </c>
      <c r="H513" s="4" t="s">
        <v>544</v>
      </c>
      <c r="I513" s="4" t="s">
        <v>22</v>
      </c>
      <c r="J513" s="4" t="str" cm="1">
        <f t="array" ref="J513">_xlfn.IFS(K513&lt;30,"Young Adult",K513&lt;50,"Adult",K513&gt;=50,"Senior")</f>
        <v>Senior</v>
      </c>
      <c r="K513" s="4">
        <v>57</v>
      </c>
      <c r="L513" s="4" t="s">
        <v>20</v>
      </c>
      <c r="M513" s="4">
        <v>1</v>
      </c>
      <c r="N513" s="16">
        <v>25</v>
      </c>
      <c r="O513" s="17">
        <f>M513*N513</f>
        <v>25</v>
      </c>
      <c r="P513" s="13">
        <f>$O513*$U$4</f>
        <v>0.375</v>
      </c>
      <c r="Q513" s="13">
        <f>$O513*$U$5</f>
        <v>0.5</v>
      </c>
      <c r="R513" s="13" cm="1">
        <f t="array" ref="R513">_xlfn.IFS(B513=2023,O513*$U$4,B513=2024,O513*$U$5)</f>
        <v>0.375</v>
      </c>
    </row>
    <row r="514" spans="1:18">
      <c r="A514" s="2">
        <v>513</v>
      </c>
      <c r="B514" s="4">
        <f t="shared" si="36"/>
        <v>2023</v>
      </c>
      <c r="C514" s="4">
        <f t="shared" si="37"/>
        <v>9</v>
      </c>
      <c r="D514" s="4">
        <f t="shared" si="38"/>
        <v>19</v>
      </c>
      <c r="E514" s="4" t="str">
        <f t="shared" si="39"/>
        <v>Tuesday</v>
      </c>
      <c r="F514" s="4" t="str">
        <f t="shared" si="40"/>
        <v>September</v>
      </c>
      <c r="G514" s="3">
        <v>45188</v>
      </c>
      <c r="H514" s="4" t="s">
        <v>545</v>
      </c>
      <c r="I514" s="4" t="s">
        <v>19</v>
      </c>
      <c r="J514" s="4" t="str" cm="1">
        <f t="array" ref="J514">_xlfn.IFS(K514&lt;30,"Young Adult",K514&lt;50,"Adult",K514&gt;=50,"Senior")</f>
        <v>Young Adult</v>
      </c>
      <c r="K514" s="4">
        <v>24</v>
      </c>
      <c r="L514" s="4" t="s">
        <v>26</v>
      </c>
      <c r="M514" s="4">
        <v>4</v>
      </c>
      <c r="N514" s="16">
        <v>25</v>
      </c>
      <c r="O514" s="17">
        <f>M514*N514</f>
        <v>100</v>
      </c>
      <c r="P514" s="13">
        <f>$O514*$U$4</f>
        <v>1.5</v>
      </c>
      <c r="Q514" s="13">
        <f>$O514*$U$5</f>
        <v>2</v>
      </c>
      <c r="R514" s="13" cm="1">
        <f t="array" ref="R514">_xlfn.IFS(B514=2023,O514*$U$4,B514=2024,O514*$U$5)</f>
        <v>1.5</v>
      </c>
    </row>
    <row r="515" spans="1:18">
      <c r="A515" s="2">
        <v>514</v>
      </c>
      <c r="B515" s="4">
        <f t="shared" ref="B515:B578" si="41">YEAR(G515)</f>
        <v>2023</v>
      </c>
      <c r="C515" s="4">
        <f t="shared" ref="C515:C578" si="42">MONTH(G515)</f>
        <v>3</v>
      </c>
      <c r="D515" s="4">
        <f t="shared" ref="D515:D578" si="43">DAY(G515)</f>
        <v>1</v>
      </c>
      <c r="E515" s="4" t="str">
        <f t="shared" ref="E515:E578" si="44">TEXT(G515,"dddd")</f>
        <v>Wednesday</v>
      </c>
      <c r="F515" s="4" t="str">
        <f t="shared" ref="F515:F578" si="45">TEXT(G515,"mmmm")</f>
        <v>March</v>
      </c>
      <c r="G515" s="3">
        <v>44986</v>
      </c>
      <c r="H515" s="4" t="s">
        <v>546</v>
      </c>
      <c r="I515" s="4" t="s">
        <v>22</v>
      </c>
      <c r="J515" s="4" t="str" cm="1">
        <f t="array" ref="J515">_xlfn.IFS(K515&lt;30,"Young Adult",K515&lt;50,"Adult",K515&gt;=50,"Senior")</f>
        <v>Young Adult</v>
      </c>
      <c r="K515" s="4">
        <v>18</v>
      </c>
      <c r="L515" s="4" t="s">
        <v>26</v>
      </c>
      <c r="M515" s="4">
        <v>1</v>
      </c>
      <c r="N515" s="16">
        <v>300</v>
      </c>
      <c r="O515" s="17">
        <f>M515*N515</f>
        <v>300</v>
      </c>
      <c r="P515" s="13">
        <f>$O515*$U$4</f>
        <v>4.5</v>
      </c>
      <c r="Q515" s="13">
        <f>$O515*$U$5</f>
        <v>6</v>
      </c>
      <c r="R515" s="13" cm="1">
        <f t="array" ref="R515">_xlfn.IFS(B515=2023,O515*$U$4,B515=2024,O515*$U$5)</f>
        <v>4.5</v>
      </c>
    </row>
    <row r="516" spans="1:18">
      <c r="A516" s="2">
        <v>515</v>
      </c>
      <c r="B516" s="4">
        <f t="shared" si="41"/>
        <v>2023</v>
      </c>
      <c r="C516" s="4">
        <f t="shared" si="42"/>
        <v>7</v>
      </c>
      <c r="D516" s="4">
        <f t="shared" si="43"/>
        <v>17</v>
      </c>
      <c r="E516" s="4" t="str">
        <f t="shared" si="44"/>
        <v>Monday</v>
      </c>
      <c r="F516" s="4" t="str">
        <f t="shared" si="45"/>
        <v>July</v>
      </c>
      <c r="G516" s="3">
        <v>45124</v>
      </c>
      <c r="H516" s="4" t="s">
        <v>547</v>
      </c>
      <c r="I516" s="4" t="s">
        <v>22</v>
      </c>
      <c r="J516" s="4" t="str" cm="1">
        <f t="array" ref="J516">_xlfn.IFS(K516&lt;30,"Young Adult",K516&lt;50,"Adult",K516&gt;=50,"Senior")</f>
        <v>Adult</v>
      </c>
      <c r="K516" s="4">
        <v>49</v>
      </c>
      <c r="L516" s="4" t="s">
        <v>23</v>
      </c>
      <c r="M516" s="4">
        <v>3</v>
      </c>
      <c r="N516" s="16">
        <v>300</v>
      </c>
      <c r="O516" s="17">
        <f>M516*N516</f>
        <v>900</v>
      </c>
      <c r="P516" s="13">
        <f>$O516*$U$4</f>
        <v>13.5</v>
      </c>
      <c r="Q516" s="13">
        <f>$O516*$U$5</f>
        <v>18</v>
      </c>
      <c r="R516" s="13" cm="1">
        <f t="array" ref="R516">_xlfn.IFS(B516=2023,O516*$U$4,B516=2024,O516*$U$5)</f>
        <v>13.5</v>
      </c>
    </row>
    <row r="517" spans="1:18">
      <c r="A517" s="2">
        <v>516</v>
      </c>
      <c r="B517" s="4">
        <f t="shared" si="41"/>
        <v>2023</v>
      </c>
      <c r="C517" s="4">
        <f t="shared" si="42"/>
        <v>10</v>
      </c>
      <c r="D517" s="4">
        <f t="shared" si="43"/>
        <v>23</v>
      </c>
      <c r="E517" s="4" t="str">
        <f t="shared" si="44"/>
        <v>Monday</v>
      </c>
      <c r="F517" s="4" t="str">
        <f t="shared" si="45"/>
        <v>October</v>
      </c>
      <c r="G517" s="3">
        <v>45222</v>
      </c>
      <c r="H517" s="4" t="s">
        <v>548</v>
      </c>
      <c r="I517" s="4" t="s">
        <v>19</v>
      </c>
      <c r="J517" s="4" t="str" cm="1">
        <f t="array" ref="J517">_xlfn.IFS(K517&lt;30,"Young Adult",K517&lt;50,"Adult",K517&gt;=50,"Senior")</f>
        <v>Adult</v>
      </c>
      <c r="K517" s="4">
        <v>30</v>
      </c>
      <c r="L517" s="4" t="s">
        <v>20</v>
      </c>
      <c r="M517" s="4">
        <v>4</v>
      </c>
      <c r="N517" s="16">
        <v>25</v>
      </c>
      <c r="O517" s="17">
        <f>M517*N517</f>
        <v>100</v>
      </c>
      <c r="P517" s="13">
        <f>$O517*$U$4</f>
        <v>1.5</v>
      </c>
      <c r="Q517" s="13">
        <f>$O517*$U$5</f>
        <v>2</v>
      </c>
      <c r="R517" s="13" cm="1">
        <f t="array" ref="R517">_xlfn.IFS(B517=2023,O517*$U$4,B517=2024,O517*$U$5)</f>
        <v>1.5</v>
      </c>
    </row>
    <row r="518" spans="1:18">
      <c r="A518" s="2">
        <v>517</v>
      </c>
      <c r="B518" s="4">
        <f t="shared" si="41"/>
        <v>2023</v>
      </c>
      <c r="C518" s="4">
        <f t="shared" si="42"/>
        <v>4</v>
      </c>
      <c r="D518" s="4">
        <f t="shared" si="43"/>
        <v>8</v>
      </c>
      <c r="E518" s="4" t="str">
        <f t="shared" si="44"/>
        <v>Saturday</v>
      </c>
      <c r="F518" s="4" t="str">
        <f t="shared" si="45"/>
        <v>April</v>
      </c>
      <c r="G518" s="3">
        <v>45024</v>
      </c>
      <c r="H518" s="4" t="s">
        <v>549</v>
      </c>
      <c r="I518" s="4" t="s">
        <v>22</v>
      </c>
      <c r="J518" s="4" t="str" cm="1">
        <f t="array" ref="J518">_xlfn.IFS(K518&lt;30,"Young Adult",K518&lt;50,"Adult",K518&gt;=50,"Senior")</f>
        <v>Adult</v>
      </c>
      <c r="K518" s="4">
        <v>47</v>
      </c>
      <c r="L518" s="4" t="s">
        <v>23</v>
      </c>
      <c r="M518" s="4">
        <v>4</v>
      </c>
      <c r="N518" s="16">
        <v>25</v>
      </c>
      <c r="O518" s="17">
        <f>M518*N518</f>
        <v>100</v>
      </c>
      <c r="P518" s="13">
        <f>$O518*$U$4</f>
        <v>1.5</v>
      </c>
      <c r="Q518" s="13">
        <f>$O518*$U$5</f>
        <v>2</v>
      </c>
      <c r="R518" s="13" cm="1">
        <f t="array" ref="R518">_xlfn.IFS(B518=2023,O518*$U$4,B518=2024,O518*$U$5)</f>
        <v>1.5</v>
      </c>
    </row>
    <row r="519" spans="1:18">
      <c r="A519" s="2">
        <v>518</v>
      </c>
      <c r="B519" s="4">
        <f t="shared" si="41"/>
        <v>2023</v>
      </c>
      <c r="C519" s="4">
        <f t="shared" si="42"/>
        <v>5</v>
      </c>
      <c r="D519" s="4">
        <f t="shared" si="43"/>
        <v>11</v>
      </c>
      <c r="E519" s="4" t="str">
        <f t="shared" si="44"/>
        <v>Thursday</v>
      </c>
      <c r="F519" s="4" t="str">
        <f t="shared" si="45"/>
        <v>May</v>
      </c>
      <c r="G519" s="3">
        <v>45057</v>
      </c>
      <c r="H519" s="4" t="s">
        <v>550</v>
      </c>
      <c r="I519" s="4" t="s">
        <v>22</v>
      </c>
      <c r="J519" s="4" t="str" cm="1">
        <f t="array" ref="J519">_xlfn.IFS(K519&lt;30,"Young Adult",K519&lt;50,"Adult",K519&gt;=50,"Senior")</f>
        <v>Adult</v>
      </c>
      <c r="K519" s="4">
        <v>40</v>
      </c>
      <c r="L519" s="4" t="s">
        <v>23</v>
      </c>
      <c r="M519" s="4">
        <v>1</v>
      </c>
      <c r="N519" s="16">
        <v>30</v>
      </c>
      <c r="O519" s="17">
        <f>M519*N519</f>
        <v>30</v>
      </c>
      <c r="P519" s="13">
        <f>$O519*$U$4</f>
        <v>0.44999999999999996</v>
      </c>
      <c r="Q519" s="13">
        <f>$O519*$U$5</f>
        <v>0.6</v>
      </c>
      <c r="R519" s="13" cm="1">
        <f t="array" ref="R519">_xlfn.IFS(B519=2023,O519*$U$4,B519=2024,O519*$U$5)</f>
        <v>0.44999999999999996</v>
      </c>
    </row>
    <row r="520" spans="1:18">
      <c r="A520" s="2">
        <v>519</v>
      </c>
      <c r="B520" s="4">
        <f t="shared" si="41"/>
        <v>2023</v>
      </c>
      <c r="C520" s="4">
        <f t="shared" si="42"/>
        <v>1</v>
      </c>
      <c r="D520" s="4">
        <f t="shared" si="43"/>
        <v>23</v>
      </c>
      <c r="E520" s="4" t="str">
        <f t="shared" si="44"/>
        <v>Monday</v>
      </c>
      <c r="F520" s="4" t="str">
        <f t="shared" si="45"/>
        <v>January</v>
      </c>
      <c r="G520" s="3">
        <v>44949</v>
      </c>
      <c r="H520" s="4" t="s">
        <v>551</v>
      </c>
      <c r="I520" s="4" t="s">
        <v>22</v>
      </c>
      <c r="J520" s="4" t="str" cm="1">
        <f t="array" ref="J520">_xlfn.IFS(K520&lt;30,"Young Adult",K520&lt;50,"Adult",K520&gt;=50,"Senior")</f>
        <v>Adult</v>
      </c>
      <c r="K520" s="4">
        <v>36</v>
      </c>
      <c r="L520" s="4" t="s">
        <v>26</v>
      </c>
      <c r="M520" s="4">
        <v>4</v>
      </c>
      <c r="N520" s="16">
        <v>30</v>
      </c>
      <c r="O520" s="17">
        <f>M520*N520</f>
        <v>120</v>
      </c>
      <c r="P520" s="13">
        <f>$O520*$U$4</f>
        <v>1.7999999999999998</v>
      </c>
      <c r="Q520" s="13">
        <f>$O520*$U$5</f>
        <v>2.4</v>
      </c>
      <c r="R520" s="13" cm="1">
        <f t="array" ref="R520">_xlfn.IFS(B520=2023,O520*$U$4,B520=2024,O520*$U$5)</f>
        <v>1.7999999999999998</v>
      </c>
    </row>
    <row r="521" spans="1:18">
      <c r="A521" s="2">
        <v>520</v>
      </c>
      <c r="B521" s="4">
        <f t="shared" si="41"/>
        <v>2023</v>
      </c>
      <c r="C521" s="4">
        <f t="shared" si="42"/>
        <v>12</v>
      </c>
      <c r="D521" s="4">
        <f t="shared" si="43"/>
        <v>29</v>
      </c>
      <c r="E521" s="4" t="str">
        <f t="shared" si="44"/>
        <v>Friday</v>
      </c>
      <c r="F521" s="4" t="str">
        <f t="shared" si="45"/>
        <v>December</v>
      </c>
      <c r="G521" s="3">
        <v>45289</v>
      </c>
      <c r="H521" s="4" t="s">
        <v>552</v>
      </c>
      <c r="I521" s="4" t="s">
        <v>22</v>
      </c>
      <c r="J521" s="4" t="str" cm="1">
        <f t="array" ref="J521">_xlfn.IFS(K521&lt;30,"Young Adult",K521&lt;50,"Adult",K521&gt;=50,"Senior")</f>
        <v>Adult</v>
      </c>
      <c r="K521" s="4">
        <v>49</v>
      </c>
      <c r="L521" s="4" t="s">
        <v>26</v>
      </c>
      <c r="M521" s="4">
        <v>4</v>
      </c>
      <c r="N521" s="16">
        <v>25</v>
      </c>
      <c r="O521" s="17">
        <f>M521*N521</f>
        <v>100</v>
      </c>
      <c r="P521" s="13">
        <f>$O521*$U$4</f>
        <v>1.5</v>
      </c>
      <c r="Q521" s="13">
        <f>$O521*$U$5</f>
        <v>2</v>
      </c>
      <c r="R521" s="13" cm="1">
        <f t="array" ref="R521">_xlfn.IFS(B521=2023,O521*$U$4,B521=2024,O521*$U$5)</f>
        <v>1.5</v>
      </c>
    </row>
    <row r="522" spans="1:18">
      <c r="A522" s="2">
        <v>521</v>
      </c>
      <c r="B522" s="4">
        <f t="shared" si="41"/>
        <v>2023</v>
      </c>
      <c r="C522" s="4">
        <f t="shared" si="42"/>
        <v>8</v>
      </c>
      <c r="D522" s="4">
        <f t="shared" si="43"/>
        <v>12</v>
      </c>
      <c r="E522" s="4" t="str">
        <f t="shared" si="44"/>
        <v>Saturday</v>
      </c>
      <c r="F522" s="4" t="str">
        <f t="shared" si="45"/>
        <v>August</v>
      </c>
      <c r="G522" s="3">
        <v>45150</v>
      </c>
      <c r="H522" s="4" t="s">
        <v>553</v>
      </c>
      <c r="I522" s="4" t="s">
        <v>22</v>
      </c>
      <c r="J522" s="4" t="str" cm="1">
        <f t="array" ref="J522">_xlfn.IFS(K522&lt;30,"Young Adult",K522&lt;50,"Adult",K522&gt;=50,"Senior")</f>
        <v>Adult</v>
      </c>
      <c r="K522" s="4">
        <v>47</v>
      </c>
      <c r="L522" s="4" t="s">
        <v>23</v>
      </c>
      <c r="M522" s="4">
        <v>4</v>
      </c>
      <c r="N522" s="16">
        <v>30</v>
      </c>
      <c r="O522" s="17">
        <f>M522*N522</f>
        <v>120</v>
      </c>
      <c r="P522" s="13">
        <f>$O522*$U$4</f>
        <v>1.7999999999999998</v>
      </c>
      <c r="Q522" s="13">
        <f>$O522*$U$5</f>
        <v>2.4</v>
      </c>
      <c r="R522" s="13" cm="1">
        <f t="array" ref="R522">_xlfn.IFS(B522=2023,O522*$U$4,B522=2024,O522*$U$5)</f>
        <v>1.7999999999999998</v>
      </c>
    </row>
    <row r="523" spans="1:18">
      <c r="A523" s="2">
        <v>522</v>
      </c>
      <c r="B523" s="4">
        <f t="shared" si="41"/>
        <v>2023</v>
      </c>
      <c r="C523" s="4">
        <f t="shared" si="42"/>
        <v>1</v>
      </c>
      <c r="D523" s="4">
        <f t="shared" si="43"/>
        <v>1</v>
      </c>
      <c r="E523" s="4" t="str">
        <f t="shared" si="44"/>
        <v>Sunday</v>
      </c>
      <c r="F523" s="4" t="str">
        <f t="shared" si="45"/>
        <v>January</v>
      </c>
      <c r="G523" s="3">
        <v>44927</v>
      </c>
      <c r="H523" s="4" t="s">
        <v>554</v>
      </c>
      <c r="I523" s="4" t="s">
        <v>19</v>
      </c>
      <c r="J523" s="4" t="str" cm="1">
        <f t="array" ref="J523">_xlfn.IFS(K523&lt;30,"Young Adult",K523&lt;50,"Adult",K523&gt;=50,"Senior")</f>
        <v>Adult</v>
      </c>
      <c r="K523" s="4">
        <v>46</v>
      </c>
      <c r="L523" s="4" t="s">
        <v>20</v>
      </c>
      <c r="M523" s="4">
        <v>3</v>
      </c>
      <c r="N523" s="16">
        <v>500</v>
      </c>
      <c r="O523" s="17">
        <f>M523*N523</f>
        <v>1500</v>
      </c>
      <c r="P523" s="13">
        <f>$O523*$U$4</f>
        <v>22.5</v>
      </c>
      <c r="Q523" s="13">
        <f>$O523*$U$5</f>
        <v>30</v>
      </c>
      <c r="R523" s="13" cm="1">
        <f t="array" ref="R523">_xlfn.IFS(B523=2023,O523*$U$4,B523=2024,O523*$U$5)</f>
        <v>22.5</v>
      </c>
    </row>
    <row r="524" spans="1:18">
      <c r="A524" s="2">
        <v>523</v>
      </c>
      <c r="B524" s="4">
        <f t="shared" si="41"/>
        <v>2023</v>
      </c>
      <c r="C524" s="4">
        <f t="shared" si="42"/>
        <v>9</v>
      </c>
      <c r="D524" s="4">
        <f t="shared" si="43"/>
        <v>24</v>
      </c>
      <c r="E524" s="4" t="str">
        <f t="shared" si="44"/>
        <v>Sunday</v>
      </c>
      <c r="F524" s="4" t="str">
        <f t="shared" si="45"/>
        <v>September</v>
      </c>
      <c r="G524" s="3">
        <v>45193</v>
      </c>
      <c r="H524" s="4" t="s">
        <v>555</v>
      </c>
      <c r="I524" s="4" t="s">
        <v>22</v>
      </c>
      <c r="J524" s="4" t="str" cm="1">
        <f t="array" ref="J524">_xlfn.IFS(K524&lt;30,"Young Adult",K524&lt;50,"Adult",K524&gt;=50,"Senior")</f>
        <v>Senior</v>
      </c>
      <c r="K524" s="4">
        <v>62</v>
      </c>
      <c r="L524" s="4" t="s">
        <v>26</v>
      </c>
      <c r="M524" s="4">
        <v>1</v>
      </c>
      <c r="N524" s="16">
        <v>300</v>
      </c>
      <c r="O524" s="17">
        <f>M524*N524</f>
        <v>300</v>
      </c>
      <c r="P524" s="13">
        <f>$O524*$U$4</f>
        <v>4.5</v>
      </c>
      <c r="Q524" s="13">
        <f>$O524*$U$5</f>
        <v>6</v>
      </c>
      <c r="R524" s="13" cm="1">
        <f t="array" ref="R524">_xlfn.IFS(B524=2023,O524*$U$4,B524=2024,O524*$U$5)</f>
        <v>4.5</v>
      </c>
    </row>
    <row r="525" spans="1:18">
      <c r="A525" s="2">
        <v>524</v>
      </c>
      <c r="B525" s="4">
        <f t="shared" si="41"/>
        <v>2023</v>
      </c>
      <c r="C525" s="4">
        <f t="shared" si="42"/>
        <v>10</v>
      </c>
      <c r="D525" s="4">
        <f t="shared" si="43"/>
        <v>3</v>
      </c>
      <c r="E525" s="4" t="str">
        <f t="shared" si="44"/>
        <v>Tuesday</v>
      </c>
      <c r="F525" s="4" t="str">
        <f t="shared" si="45"/>
        <v>October</v>
      </c>
      <c r="G525" s="3">
        <v>45202</v>
      </c>
      <c r="H525" s="4" t="s">
        <v>556</v>
      </c>
      <c r="I525" s="4" t="s">
        <v>19</v>
      </c>
      <c r="J525" s="4" t="str" cm="1">
        <f t="array" ref="J525">_xlfn.IFS(K525&lt;30,"Young Adult",K525&lt;50,"Adult",K525&gt;=50,"Senior")</f>
        <v>Adult</v>
      </c>
      <c r="K525" s="4">
        <v>46</v>
      </c>
      <c r="L525" s="4" t="s">
        <v>20</v>
      </c>
      <c r="M525" s="4">
        <v>4</v>
      </c>
      <c r="N525" s="16">
        <v>300</v>
      </c>
      <c r="O525" s="17">
        <f>M525*N525</f>
        <v>1200</v>
      </c>
      <c r="P525" s="13">
        <f>$O525*$U$4</f>
        <v>18</v>
      </c>
      <c r="Q525" s="13">
        <f>$O525*$U$5</f>
        <v>24</v>
      </c>
      <c r="R525" s="13" cm="1">
        <f t="array" ref="R525">_xlfn.IFS(B525=2023,O525*$U$4,B525=2024,O525*$U$5)</f>
        <v>18</v>
      </c>
    </row>
    <row r="526" spans="1:18">
      <c r="A526" s="2">
        <v>525</v>
      </c>
      <c r="B526" s="4">
        <f t="shared" si="41"/>
        <v>2023</v>
      </c>
      <c r="C526" s="4">
        <f t="shared" si="42"/>
        <v>12</v>
      </c>
      <c r="D526" s="4">
        <f t="shared" si="43"/>
        <v>18</v>
      </c>
      <c r="E526" s="4" t="str">
        <f t="shared" si="44"/>
        <v>Monday</v>
      </c>
      <c r="F526" s="4" t="str">
        <f t="shared" si="45"/>
        <v>December</v>
      </c>
      <c r="G526" s="3">
        <v>45278</v>
      </c>
      <c r="H526" s="4" t="s">
        <v>557</v>
      </c>
      <c r="I526" s="4" t="s">
        <v>22</v>
      </c>
      <c r="J526" s="4" t="str" cm="1">
        <f t="array" ref="J526">_xlfn.IFS(K526&lt;30,"Young Adult",K526&lt;50,"Adult",K526&gt;=50,"Senior")</f>
        <v>Adult</v>
      </c>
      <c r="K526" s="4">
        <v>47</v>
      </c>
      <c r="L526" s="4" t="s">
        <v>20</v>
      </c>
      <c r="M526" s="4">
        <v>2</v>
      </c>
      <c r="N526" s="16">
        <v>25</v>
      </c>
      <c r="O526" s="17">
        <f>M526*N526</f>
        <v>50</v>
      </c>
      <c r="P526" s="13">
        <f>$O526*$U$4</f>
        <v>0.75</v>
      </c>
      <c r="Q526" s="13">
        <f>$O526*$U$5</f>
        <v>1</v>
      </c>
      <c r="R526" s="13" cm="1">
        <f t="array" ref="R526">_xlfn.IFS(B526=2023,O526*$U$4,B526=2024,O526*$U$5)</f>
        <v>0.75</v>
      </c>
    </row>
    <row r="527" spans="1:18">
      <c r="A527" s="2">
        <v>526</v>
      </c>
      <c r="B527" s="4">
        <f t="shared" si="41"/>
        <v>2023</v>
      </c>
      <c r="C527" s="4">
        <f t="shared" si="42"/>
        <v>12</v>
      </c>
      <c r="D527" s="4">
        <f t="shared" si="43"/>
        <v>10</v>
      </c>
      <c r="E527" s="4" t="str">
        <f t="shared" si="44"/>
        <v>Sunday</v>
      </c>
      <c r="F527" s="4" t="str">
        <f t="shared" si="45"/>
        <v>December</v>
      </c>
      <c r="G527" s="3">
        <v>45270</v>
      </c>
      <c r="H527" s="4" t="s">
        <v>558</v>
      </c>
      <c r="I527" s="4" t="s">
        <v>19</v>
      </c>
      <c r="J527" s="4" t="str" cm="1">
        <f t="array" ref="J527">_xlfn.IFS(K527&lt;30,"Young Adult",K527&lt;50,"Adult",K527&gt;=50,"Senior")</f>
        <v>Adult</v>
      </c>
      <c r="K527" s="4">
        <v>33</v>
      </c>
      <c r="L527" s="4" t="s">
        <v>23</v>
      </c>
      <c r="M527" s="4">
        <v>2</v>
      </c>
      <c r="N527" s="16">
        <v>50</v>
      </c>
      <c r="O527" s="17">
        <f>M527*N527</f>
        <v>100</v>
      </c>
      <c r="P527" s="13">
        <f>$O527*$U$4</f>
        <v>1.5</v>
      </c>
      <c r="Q527" s="13">
        <f>$O527*$U$5</f>
        <v>2</v>
      </c>
      <c r="R527" s="13" cm="1">
        <f t="array" ref="R527">_xlfn.IFS(B527=2023,O527*$U$4,B527=2024,O527*$U$5)</f>
        <v>1.5</v>
      </c>
    </row>
    <row r="528" spans="1:18">
      <c r="A528" s="2">
        <v>527</v>
      </c>
      <c r="B528" s="4">
        <f t="shared" si="41"/>
        <v>2023</v>
      </c>
      <c r="C528" s="4">
        <f t="shared" si="42"/>
        <v>4</v>
      </c>
      <c r="D528" s="4">
        <f t="shared" si="43"/>
        <v>11</v>
      </c>
      <c r="E528" s="4" t="str">
        <f t="shared" si="44"/>
        <v>Tuesday</v>
      </c>
      <c r="F528" s="4" t="str">
        <f t="shared" si="45"/>
        <v>April</v>
      </c>
      <c r="G528" s="3">
        <v>45027</v>
      </c>
      <c r="H528" s="4" t="s">
        <v>559</v>
      </c>
      <c r="I528" s="4" t="s">
        <v>19</v>
      </c>
      <c r="J528" s="4" t="str" cm="1">
        <f t="array" ref="J528">_xlfn.IFS(K528&lt;30,"Young Adult",K528&lt;50,"Adult",K528&gt;=50,"Senior")</f>
        <v>Senior</v>
      </c>
      <c r="K528" s="4">
        <v>57</v>
      </c>
      <c r="L528" s="4" t="s">
        <v>23</v>
      </c>
      <c r="M528" s="4">
        <v>2</v>
      </c>
      <c r="N528" s="16">
        <v>25</v>
      </c>
      <c r="O528" s="17">
        <f>M528*N528</f>
        <v>50</v>
      </c>
      <c r="P528" s="13">
        <f>$O528*$U$4</f>
        <v>0.75</v>
      </c>
      <c r="Q528" s="13">
        <f>$O528*$U$5</f>
        <v>1</v>
      </c>
      <c r="R528" s="13" cm="1">
        <f t="array" ref="R528">_xlfn.IFS(B528=2023,O528*$U$4,B528=2024,O528*$U$5)</f>
        <v>0.75</v>
      </c>
    </row>
    <row r="529" spans="1:18">
      <c r="A529" s="2">
        <v>528</v>
      </c>
      <c r="B529" s="4">
        <f t="shared" si="41"/>
        <v>2023</v>
      </c>
      <c r="C529" s="4">
        <f t="shared" si="42"/>
        <v>7</v>
      </c>
      <c r="D529" s="4">
        <f t="shared" si="43"/>
        <v>6</v>
      </c>
      <c r="E529" s="4" t="str">
        <f t="shared" si="44"/>
        <v>Thursday</v>
      </c>
      <c r="F529" s="4" t="str">
        <f t="shared" si="45"/>
        <v>July</v>
      </c>
      <c r="G529" s="3">
        <v>45113</v>
      </c>
      <c r="H529" s="4" t="s">
        <v>560</v>
      </c>
      <c r="I529" s="4" t="s">
        <v>22</v>
      </c>
      <c r="J529" s="4" t="str" cm="1">
        <f t="array" ref="J529">_xlfn.IFS(K529&lt;30,"Young Adult",K529&lt;50,"Adult",K529&gt;=50,"Senior")</f>
        <v>Adult</v>
      </c>
      <c r="K529" s="4">
        <v>36</v>
      </c>
      <c r="L529" s="4" t="s">
        <v>23</v>
      </c>
      <c r="M529" s="4">
        <v>2</v>
      </c>
      <c r="N529" s="16">
        <v>30</v>
      </c>
      <c r="O529" s="17">
        <f>M529*N529</f>
        <v>60</v>
      </c>
      <c r="P529" s="13">
        <f>$O529*$U$4</f>
        <v>0.89999999999999991</v>
      </c>
      <c r="Q529" s="13">
        <f>$O529*$U$5</f>
        <v>1.2</v>
      </c>
      <c r="R529" s="13" cm="1">
        <f t="array" ref="R529">_xlfn.IFS(B529=2023,O529*$U$4,B529=2024,O529*$U$5)</f>
        <v>0.89999999999999991</v>
      </c>
    </row>
    <row r="530" spans="1:18">
      <c r="A530" s="2">
        <v>529</v>
      </c>
      <c r="B530" s="4">
        <f t="shared" si="41"/>
        <v>2023</v>
      </c>
      <c r="C530" s="4">
        <f t="shared" si="42"/>
        <v>8</v>
      </c>
      <c r="D530" s="4">
        <f t="shared" si="43"/>
        <v>9</v>
      </c>
      <c r="E530" s="4" t="str">
        <f t="shared" si="44"/>
        <v>Wednesday</v>
      </c>
      <c r="F530" s="4" t="str">
        <f t="shared" si="45"/>
        <v>August</v>
      </c>
      <c r="G530" s="3">
        <v>45147</v>
      </c>
      <c r="H530" s="4" t="s">
        <v>561</v>
      </c>
      <c r="I530" s="4" t="s">
        <v>22</v>
      </c>
      <c r="J530" s="4" t="str" cm="1">
        <f t="array" ref="J530">_xlfn.IFS(K530&lt;30,"Young Adult",K530&lt;50,"Adult",K530&gt;=50,"Senior")</f>
        <v>Adult</v>
      </c>
      <c r="K530" s="4">
        <v>35</v>
      </c>
      <c r="L530" s="4" t="s">
        <v>23</v>
      </c>
      <c r="M530" s="4">
        <v>3</v>
      </c>
      <c r="N530" s="16">
        <v>50</v>
      </c>
      <c r="O530" s="17">
        <f>M530*N530</f>
        <v>150</v>
      </c>
      <c r="P530" s="13">
        <f>$O530*$U$4</f>
        <v>2.25</v>
      </c>
      <c r="Q530" s="13">
        <f>$O530*$U$5</f>
        <v>3</v>
      </c>
      <c r="R530" s="13" cm="1">
        <f t="array" ref="R530">_xlfn.IFS(B530=2023,O530*$U$4,B530=2024,O530*$U$5)</f>
        <v>2.25</v>
      </c>
    </row>
    <row r="531" spans="1:18">
      <c r="A531" s="2">
        <v>530</v>
      </c>
      <c r="B531" s="4">
        <f t="shared" si="41"/>
        <v>2023</v>
      </c>
      <c r="C531" s="4">
        <f t="shared" si="42"/>
        <v>2</v>
      </c>
      <c r="D531" s="4">
        <f t="shared" si="43"/>
        <v>5</v>
      </c>
      <c r="E531" s="4" t="str">
        <f t="shared" si="44"/>
        <v>Sunday</v>
      </c>
      <c r="F531" s="4" t="str">
        <f t="shared" si="45"/>
        <v>February</v>
      </c>
      <c r="G531" s="3">
        <v>44962</v>
      </c>
      <c r="H531" s="4" t="s">
        <v>562</v>
      </c>
      <c r="I531" s="4" t="s">
        <v>22</v>
      </c>
      <c r="J531" s="4" t="str" cm="1">
        <f t="array" ref="J531">_xlfn.IFS(K531&lt;30,"Young Adult",K531&lt;50,"Adult",K531&gt;=50,"Senior")</f>
        <v>Young Adult</v>
      </c>
      <c r="K531" s="4">
        <v>18</v>
      </c>
      <c r="L531" s="4" t="s">
        <v>26</v>
      </c>
      <c r="M531" s="4">
        <v>4</v>
      </c>
      <c r="N531" s="16">
        <v>30</v>
      </c>
      <c r="O531" s="17">
        <f>M531*N531</f>
        <v>120</v>
      </c>
      <c r="P531" s="13">
        <f>$O531*$U$4</f>
        <v>1.7999999999999998</v>
      </c>
      <c r="Q531" s="13">
        <f>$O531*$U$5</f>
        <v>2.4</v>
      </c>
      <c r="R531" s="13" cm="1">
        <f t="array" ref="R531">_xlfn.IFS(B531=2023,O531*$U$4,B531=2024,O531*$U$5)</f>
        <v>1.7999999999999998</v>
      </c>
    </row>
    <row r="532" spans="1:18">
      <c r="A532" s="2">
        <v>531</v>
      </c>
      <c r="B532" s="4">
        <f t="shared" si="41"/>
        <v>2023</v>
      </c>
      <c r="C532" s="4">
        <f t="shared" si="42"/>
        <v>12</v>
      </c>
      <c r="D532" s="4">
        <f t="shared" si="43"/>
        <v>7</v>
      </c>
      <c r="E532" s="4" t="str">
        <f t="shared" si="44"/>
        <v>Thursday</v>
      </c>
      <c r="F532" s="4" t="str">
        <f t="shared" si="45"/>
        <v>December</v>
      </c>
      <c r="G532" s="3">
        <v>45267</v>
      </c>
      <c r="H532" s="4" t="s">
        <v>563</v>
      </c>
      <c r="I532" s="4" t="s">
        <v>19</v>
      </c>
      <c r="J532" s="4" t="str" cm="1">
        <f t="array" ref="J532">_xlfn.IFS(K532&lt;30,"Young Adult",K532&lt;50,"Adult",K532&gt;=50,"Senior")</f>
        <v>Adult</v>
      </c>
      <c r="K532" s="4">
        <v>31</v>
      </c>
      <c r="L532" s="4" t="s">
        <v>26</v>
      </c>
      <c r="M532" s="4">
        <v>1</v>
      </c>
      <c r="N532" s="16">
        <v>500</v>
      </c>
      <c r="O532" s="17">
        <f>M532*N532</f>
        <v>500</v>
      </c>
      <c r="P532" s="13">
        <f>$O532*$U$4</f>
        <v>7.5</v>
      </c>
      <c r="Q532" s="13">
        <f>$O532*$U$5</f>
        <v>10</v>
      </c>
      <c r="R532" s="13" cm="1">
        <f t="array" ref="R532">_xlfn.IFS(B532=2023,O532*$U$4,B532=2024,O532*$U$5)</f>
        <v>7.5</v>
      </c>
    </row>
    <row r="533" spans="1:18">
      <c r="A533" s="2">
        <v>532</v>
      </c>
      <c r="B533" s="4">
        <f t="shared" si="41"/>
        <v>2023</v>
      </c>
      <c r="C533" s="4">
        <f t="shared" si="42"/>
        <v>6</v>
      </c>
      <c r="D533" s="4">
        <f t="shared" si="43"/>
        <v>19</v>
      </c>
      <c r="E533" s="4" t="str">
        <f t="shared" si="44"/>
        <v>Monday</v>
      </c>
      <c r="F533" s="4" t="str">
        <f t="shared" si="45"/>
        <v>June</v>
      </c>
      <c r="G533" s="3">
        <v>45096</v>
      </c>
      <c r="H533" s="4" t="s">
        <v>564</v>
      </c>
      <c r="I533" s="4" t="s">
        <v>22</v>
      </c>
      <c r="J533" s="4" t="str" cm="1">
        <f t="array" ref="J533">_xlfn.IFS(K533&lt;30,"Young Adult",K533&lt;50,"Adult",K533&gt;=50,"Senior")</f>
        <v>Senior</v>
      </c>
      <c r="K533" s="4">
        <v>64</v>
      </c>
      <c r="L533" s="4" t="s">
        <v>23</v>
      </c>
      <c r="M533" s="4">
        <v>4</v>
      </c>
      <c r="N533" s="16">
        <v>30</v>
      </c>
      <c r="O533" s="17">
        <f>M533*N533</f>
        <v>120</v>
      </c>
      <c r="P533" s="13">
        <f>$O533*$U$4</f>
        <v>1.7999999999999998</v>
      </c>
      <c r="Q533" s="13">
        <f>$O533*$U$5</f>
        <v>2.4</v>
      </c>
      <c r="R533" s="13" cm="1">
        <f t="array" ref="R533">_xlfn.IFS(B533=2023,O533*$U$4,B533=2024,O533*$U$5)</f>
        <v>1.7999999999999998</v>
      </c>
    </row>
    <row r="534" spans="1:18">
      <c r="A534" s="2">
        <v>533</v>
      </c>
      <c r="B534" s="4">
        <f t="shared" si="41"/>
        <v>2023</v>
      </c>
      <c r="C534" s="4">
        <f t="shared" si="42"/>
        <v>11</v>
      </c>
      <c r="D534" s="4">
        <f t="shared" si="43"/>
        <v>16</v>
      </c>
      <c r="E534" s="4" t="str">
        <f t="shared" si="44"/>
        <v>Thursday</v>
      </c>
      <c r="F534" s="4" t="str">
        <f t="shared" si="45"/>
        <v>November</v>
      </c>
      <c r="G534" s="3">
        <v>45246</v>
      </c>
      <c r="H534" s="4" t="s">
        <v>565</v>
      </c>
      <c r="I534" s="4" t="s">
        <v>19</v>
      </c>
      <c r="J534" s="4" t="str" cm="1">
        <f t="array" ref="J534">_xlfn.IFS(K534&lt;30,"Young Adult",K534&lt;50,"Adult",K534&gt;=50,"Senior")</f>
        <v>Young Adult</v>
      </c>
      <c r="K534" s="4">
        <v>19</v>
      </c>
      <c r="L534" s="4" t="s">
        <v>26</v>
      </c>
      <c r="M534" s="4">
        <v>3</v>
      </c>
      <c r="N534" s="16">
        <v>500</v>
      </c>
      <c r="O534" s="17">
        <f>M534*N534</f>
        <v>1500</v>
      </c>
      <c r="P534" s="13">
        <f>$O534*$U$4</f>
        <v>22.5</v>
      </c>
      <c r="Q534" s="13">
        <f>$O534*$U$5</f>
        <v>30</v>
      </c>
      <c r="R534" s="13" cm="1">
        <f t="array" ref="R534">_xlfn.IFS(B534=2023,O534*$U$4,B534=2024,O534*$U$5)</f>
        <v>22.5</v>
      </c>
    </row>
    <row r="535" spans="1:18">
      <c r="A535" s="2">
        <v>534</v>
      </c>
      <c r="B535" s="4">
        <f t="shared" si="41"/>
        <v>2023</v>
      </c>
      <c r="C535" s="4">
        <f t="shared" si="42"/>
        <v>6</v>
      </c>
      <c r="D535" s="4">
        <f t="shared" si="43"/>
        <v>10</v>
      </c>
      <c r="E535" s="4" t="str">
        <f t="shared" si="44"/>
        <v>Saturday</v>
      </c>
      <c r="F535" s="4" t="str">
        <f t="shared" si="45"/>
        <v>June</v>
      </c>
      <c r="G535" s="3">
        <v>45087</v>
      </c>
      <c r="H535" s="4" t="s">
        <v>566</v>
      </c>
      <c r="I535" s="4" t="s">
        <v>19</v>
      </c>
      <c r="J535" s="4" t="str" cm="1">
        <f t="array" ref="J535">_xlfn.IFS(K535&lt;30,"Young Adult",K535&lt;50,"Adult",K535&gt;=50,"Senior")</f>
        <v>Adult</v>
      </c>
      <c r="K535" s="4">
        <v>45</v>
      </c>
      <c r="L535" s="4" t="s">
        <v>23</v>
      </c>
      <c r="M535" s="4">
        <v>2</v>
      </c>
      <c r="N535" s="16">
        <v>500</v>
      </c>
      <c r="O535" s="17">
        <f>M535*N535</f>
        <v>1000</v>
      </c>
      <c r="P535" s="13">
        <f>$O535*$U$4</f>
        <v>15</v>
      </c>
      <c r="Q535" s="13">
        <f>$O535*$U$5</f>
        <v>20</v>
      </c>
      <c r="R535" s="13" cm="1">
        <f t="array" ref="R535">_xlfn.IFS(B535=2023,O535*$U$4,B535=2024,O535*$U$5)</f>
        <v>15</v>
      </c>
    </row>
    <row r="536" spans="1:18">
      <c r="A536" s="2">
        <v>535</v>
      </c>
      <c r="B536" s="4">
        <f t="shared" si="41"/>
        <v>2023</v>
      </c>
      <c r="C536" s="4">
        <f t="shared" si="42"/>
        <v>12</v>
      </c>
      <c r="D536" s="4">
        <f t="shared" si="43"/>
        <v>6</v>
      </c>
      <c r="E536" s="4" t="str">
        <f t="shared" si="44"/>
        <v>Wednesday</v>
      </c>
      <c r="F536" s="4" t="str">
        <f t="shared" si="45"/>
        <v>December</v>
      </c>
      <c r="G536" s="3">
        <v>45266</v>
      </c>
      <c r="H536" s="4" t="s">
        <v>567</v>
      </c>
      <c r="I536" s="4" t="s">
        <v>19</v>
      </c>
      <c r="J536" s="4" t="str" cm="1">
        <f t="array" ref="J536">_xlfn.IFS(K536&lt;30,"Young Adult",K536&lt;50,"Adult",K536&gt;=50,"Senior")</f>
        <v>Adult</v>
      </c>
      <c r="K536" s="4">
        <v>47</v>
      </c>
      <c r="L536" s="4" t="s">
        <v>20</v>
      </c>
      <c r="M536" s="4">
        <v>3</v>
      </c>
      <c r="N536" s="16">
        <v>30</v>
      </c>
      <c r="O536" s="17">
        <f>M536*N536</f>
        <v>90</v>
      </c>
      <c r="P536" s="13">
        <f>$O536*$U$4</f>
        <v>1.3499999999999999</v>
      </c>
      <c r="Q536" s="13">
        <f>$O536*$U$5</f>
        <v>1.8</v>
      </c>
      <c r="R536" s="13" cm="1">
        <f t="array" ref="R536">_xlfn.IFS(B536=2023,O536*$U$4,B536=2024,O536*$U$5)</f>
        <v>1.3499999999999999</v>
      </c>
    </row>
    <row r="537" spans="1:18">
      <c r="A537" s="2">
        <v>536</v>
      </c>
      <c r="B537" s="4">
        <f t="shared" si="41"/>
        <v>2023</v>
      </c>
      <c r="C537" s="4">
        <f t="shared" si="42"/>
        <v>3</v>
      </c>
      <c r="D537" s="4">
        <f t="shared" si="43"/>
        <v>5</v>
      </c>
      <c r="E537" s="4" t="str">
        <f t="shared" si="44"/>
        <v>Sunday</v>
      </c>
      <c r="F537" s="4" t="str">
        <f t="shared" si="45"/>
        <v>March</v>
      </c>
      <c r="G537" s="3">
        <v>44990</v>
      </c>
      <c r="H537" s="4" t="s">
        <v>568</v>
      </c>
      <c r="I537" s="4" t="s">
        <v>22</v>
      </c>
      <c r="J537" s="4" t="str" cm="1">
        <f t="array" ref="J537">_xlfn.IFS(K537&lt;30,"Young Adult",K537&lt;50,"Adult",K537&gt;=50,"Senior")</f>
        <v>Senior</v>
      </c>
      <c r="K537" s="4">
        <v>55</v>
      </c>
      <c r="L537" s="4" t="s">
        <v>20</v>
      </c>
      <c r="M537" s="4">
        <v>4</v>
      </c>
      <c r="N537" s="16">
        <v>30</v>
      </c>
      <c r="O537" s="17">
        <f>M537*N537</f>
        <v>120</v>
      </c>
      <c r="P537" s="13">
        <f>$O537*$U$4</f>
        <v>1.7999999999999998</v>
      </c>
      <c r="Q537" s="13">
        <f>$O537*$U$5</f>
        <v>2.4</v>
      </c>
      <c r="R537" s="13" cm="1">
        <f t="array" ref="R537">_xlfn.IFS(B537=2023,O537*$U$4,B537=2024,O537*$U$5)</f>
        <v>1.7999999999999998</v>
      </c>
    </row>
    <row r="538" spans="1:18">
      <c r="A538" s="2">
        <v>537</v>
      </c>
      <c r="B538" s="4">
        <f t="shared" si="41"/>
        <v>2023</v>
      </c>
      <c r="C538" s="4">
        <f t="shared" si="42"/>
        <v>6</v>
      </c>
      <c r="D538" s="4">
        <f t="shared" si="43"/>
        <v>3</v>
      </c>
      <c r="E538" s="4" t="str">
        <f t="shared" si="44"/>
        <v>Saturday</v>
      </c>
      <c r="F538" s="4" t="str">
        <f t="shared" si="45"/>
        <v>June</v>
      </c>
      <c r="G538" s="3">
        <v>45080</v>
      </c>
      <c r="H538" s="4" t="s">
        <v>569</v>
      </c>
      <c r="I538" s="4" t="s">
        <v>22</v>
      </c>
      <c r="J538" s="4" t="str" cm="1">
        <f t="array" ref="J538">_xlfn.IFS(K538&lt;30,"Young Adult",K538&lt;50,"Adult",K538&gt;=50,"Senior")</f>
        <v>Young Adult</v>
      </c>
      <c r="K538" s="4">
        <v>21</v>
      </c>
      <c r="L538" s="4" t="s">
        <v>20</v>
      </c>
      <c r="M538" s="4">
        <v>1</v>
      </c>
      <c r="N538" s="16">
        <v>500</v>
      </c>
      <c r="O538" s="17">
        <f>M538*N538</f>
        <v>500</v>
      </c>
      <c r="P538" s="13">
        <f>$O538*$U$4</f>
        <v>7.5</v>
      </c>
      <c r="Q538" s="13">
        <f>$O538*$U$5</f>
        <v>10</v>
      </c>
      <c r="R538" s="13" cm="1">
        <f t="array" ref="R538">_xlfn.IFS(B538=2023,O538*$U$4,B538=2024,O538*$U$5)</f>
        <v>7.5</v>
      </c>
    </row>
    <row r="539" spans="1:18">
      <c r="A539" s="2">
        <v>538</v>
      </c>
      <c r="B539" s="4">
        <f t="shared" si="41"/>
        <v>2023</v>
      </c>
      <c r="C539" s="4">
        <f t="shared" si="42"/>
        <v>9</v>
      </c>
      <c r="D539" s="4">
        <f t="shared" si="43"/>
        <v>17</v>
      </c>
      <c r="E539" s="4" t="str">
        <f t="shared" si="44"/>
        <v>Sunday</v>
      </c>
      <c r="F539" s="4" t="str">
        <f t="shared" si="45"/>
        <v>September</v>
      </c>
      <c r="G539" s="3">
        <v>45186</v>
      </c>
      <c r="H539" s="4" t="s">
        <v>570</v>
      </c>
      <c r="I539" s="4" t="s">
        <v>19</v>
      </c>
      <c r="J539" s="4" t="str" cm="1">
        <f t="array" ref="J539">_xlfn.IFS(K539&lt;30,"Young Adult",K539&lt;50,"Adult",K539&gt;=50,"Senior")</f>
        <v>Young Adult</v>
      </c>
      <c r="K539" s="4">
        <v>18</v>
      </c>
      <c r="L539" s="4" t="s">
        <v>23</v>
      </c>
      <c r="M539" s="4">
        <v>3</v>
      </c>
      <c r="N539" s="16">
        <v>50</v>
      </c>
      <c r="O539" s="17">
        <f>M539*N539</f>
        <v>150</v>
      </c>
      <c r="P539" s="13">
        <f>$O539*$U$4</f>
        <v>2.25</v>
      </c>
      <c r="Q539" s="13">
        <f>$O539*$U$5</f>
        <v>3</v>
      </c>
      <c r="R539" s="13" cm="1">
        <f t="array" ref="R539">_xlfn.IFS(B539=2023,O539*$U$4,B539=2024,O539*$U$5)</f>
        <v>2.25</v>
      </c>
    </row>
    <row r="540" spans="1:18">
      <c r="A540" s="2">
        <v>539</v>
      </c>
      <c r="B540" s="4">
        <f t="shared" si="41"/>
        <v>2023</v>
      </c>
      <c r="C540" s="4">
        <f t="shared" si="42"/>
        <v>6</v>
      </c>
      <c r="D540" s="4">
        <f t="shared" si="43"/>
        <v>8</v>
      </c>
      <c r="E540" s="4" t="str">
        <f t="shared" si="44"/>
        <v>Thursday</v>
      </c>
      <c r="F540" s="4" t="str">
        <f t="shared" si="45"/>
        <v>June</v>
      </c>
      <c r="G540" s="3">
        <v>45085</v>
      </c>
      <c r="H540" s="4" t="s">
        <v>571</v>
      </c>
      <c r="I540" s="4" t="s">
        <v>19</v>
      </c>
      <c r="J540" s="4" t="str" cm="1">
        <f t="array" ref="J540">_xlfn.IFS(K540&lt;30,"Young Adult",K540&lt;50,"Adult",K540&gt;=50,"Senior")</f>
        <v>Young Adult</v>
      </c>
      <c r="K540" s="4">
        <v>25</v>
      </c>
      <c r="L540" s="4" t="s">
        <v>20</v>
      </c>
      <c r="M540" s="4">
        <v>1</v>
      </c>
      <c r="N540" s="16">
        <v>500</v>
      </c>
      <c r="O540" s="17">
        <f>M540*N540</f>
        <v>500</v>
      </c>
      <c r="P540" s="13">
        <f>$O540*$U$4</f>
        <v>7.5</v>
      </c>
      <c r="Q540" s="13">
        <f>$O540*$U$5</f>
        <v>10</v>
      </c>
      <c r="R540" s="13" cm="1">
        <f t="array" ref="R540">_xlfn.IFS(B540=2023,O540*$U$4,B540=2024,O540*$U$5)</f>
        <v>7.5</v>
      </c>
    </row>
    <row r="541" spans="1:18">
      <c r="A541" s="2">
        <v>540</v>
      </c>
      <c r="B541" s="4">
        <f t="shared" si="41"/>
        <v>2023</v>
      </c>
      <c r="C541" s="4">
        <f t="shared" si="42"/>
        <v>12</v>
      </c>
      <c r="D541" s="4">
        <f t="shared" si="43"/>
        <v>8</v>
      </c>
      <c r="E541" s="4" t="str">
        <f t="shared" si="44"/>
        <v>Friday</v>
      </c>
      <c r="F541" s="4" t="str">
        <f t="shared" si="45"/>
        <v>December</v>
      </c>
      <c r="G541" s="3">
        <v>45268</v>
      </c>
      <c r="H541" s="4" t="s">
        <v>572</v>
      </c>
      <c r="I541" s="4" t="s">
        <v>22</v>
      </c>
      <c r="J541" s="4" t="str" cm="1">
        <f t="array" ref="J541">_xlfn.IFS(K541&lt;30,"Young Adult",K541&lt;50,"Adult",K541&gt;=50,"Senior")</f>
        <v>Adult</v>
      </c>
      <c r="K541" s="4">
        <v>46</v>
      </c>
      <c r="L541" s="4" t="s">
        <v>26</v>
      </c>
      <c r="M541" s="4">
        <v>3</v>
      </c>
      <c r="N541" s="16">
        <v>300</v>
      </c>
      <c r="O541" s="17">
        <f>M541*N541</f>
        <v>900</v>
      </c>
      <c r="P541" s="13">
        <f>$O541*$U$4</f>
        <v>13.5</v>
      </c>
      <c r="Q541" s="13">
        <f>$O541*$U$5</f>
        <v>18</v>
      </c>
      <c r="R541" s="13" cm="1">
        <f t="array" ref="R541">_xlfn.IFS(B541=2023,O541*$U$4,B541=2024,O541*$U$5)</f>
        <v>13.5</v>
      </c>
    </row>
    <row r="542" spans="1:18">
      <c r="A542" s="2">
        <v>541</v>
      </c>
      <c r="B542" s="4">
        <f t="shared" si="41"/>
        <v>2023</v>
      </c>
      <c r="C542" s="4">
        <f t="shared" si="42"/>
        <v>7</v>
      </c>
      <c r="D542" s="4">
        <f t="shared" si="43"/>
        <v>29</v>
      </c>
      <c r="E542" s="4" t="str">
        <f t="shared" si="44"/>
        <v>Saturday</v>
      </c>
      <c r="F542" s="4" t="str">
        <f t="shared" si="45"/>
        <v>July</v>
      </c>
      <c r="G542" s="3">
        <v>45136</v>
      </c>
      <c r="H542" s="4" t="s">
        <v>573</v>
      </c>
      <c r="I542" s="4" t="s">
        <v>19</v>
      </c>
      <c r="J542" s="4" t="str" cm="1">
        <f t="array" ref="J542">_xlfn.IFS(K542&lt;30,"Young Adult",K542&lt;50,"Adult",K542&gt;=50,"Senior")</f>
        <v>Senior</v>
      </c>
      <c r="K542" s="4">
        <v>56</v>
      </c>
      <c r="L542" s="4" t="s">
        <v>20</v>
      </c>
      <c r="M542" s="4">
        <v>1</v>
      </c>
      <c r="N542" s="16">
        <v>500</v>
      </c>
      <c r="O542" s="17">
        <f>M542*N542</f>
        <v>500</v>
      </c>
      <c r="P542" s="13">
        <f>$O542*$U$4</f>
        <v>7.5</v>
      </c>
      <c r="Q542" s="13">
        <f>$O542*$U$5</f>
        <v>10</v>
      </c>
      <c r="R542" s="13" cm="1">
        <f t="array" ref="R542">_xlfn.IFS(B542=2023,O542*$U$4,B542=2024,O542*$U$5)</f>
        <v>7.5</v>
      </c>
    </row>
    <row r="543" spans="1:18">
      <c r="A543" s="2">
        <v>542</v>
      </c>
      <c r="B543" s="4">
        <f t="shared" si="41"/>
        <v>2023</v>
      </c>
      <c r="C543" s="4">
        <f t="shared" si="42"/>
        <v>6</v>
      </c>
      <c r="D543" s="4">
        <f t="shared" si="43"/>
        <v>17</v>
      </c>
      <c r="E543" s="4" t="str">
        <f t="shared" si="44"/>
        <v>Saturday</v>
      </c>
      <c r="F543" s="4" t="str">
        <f t="shared" si="45"/>
        <v>June</v>
      </c>
      <c r="G543" s="3">
        <v>45094</v>
      </c>
      <c r="H543" s="4" t="s">
        <v>574</v>
      </c>
      <c r="I543" s="4" t="s">
        <v>22</v>
      </c>
      <c r="J543" s="4" t="str" cm="1">
        <f t="array" ref="J543">_xlfn.IFS(K543&lt;30,"Young Adult",K543&lt;50,"Adult",K543&gt;=50,"Senior")</f>
        <v>Young Adult</v>
      </c>
      <c r="K543" s="4">
        <v>20</v>
      </c>
      <c r="L543" s="4" t="s">
        <v>20</v>
      </c>
      <c r="M543" s="4">
        <v>1</v>
      </c>
      <c r="N543" s="16">
        <v>50</v>
      </c>
      <c r="O543" s="17">
        <f>M543*N543</f>
        <v>50</v>
      </c>
      <c r="P543" s="13">
        <f>$O543*$U$4</f>
        <v>0.75</v>
      </c>
      <c r="Q543" s="13">
        <f>$O543*$U$5</f>
        <v>1</v>
      </c>
      <c r="R543" s="13" cm="1">
        <f t="array" ref="R543">_xlfn.IFS(B543=2023,O543*$U$4,B543=2024,O543*$U$5)</f>
        <v>0.75</v>
      </c>
    </row>
    <row r="544" spans="1:18">
      <c r="A544" s="2">
        <v>543</v>
      </c>
      <c r="B544" s="4">
        <f t="shared" si="41"/>
        <v>2023</v>
      </c>
      <c r="C544" s="4">
        <f t="shared" si="42"/>
        <v>7</v>
      </c>
      <c r="D544" s="4">
        <f t="shared" si="43"/>
        <v>26</v>
      </c>
      <c r="E544" s="4" t="str">
        <f t="shared" si="44"/>
        <v>Wednesday</v>
      </c>
      <c r="F544" s="4" t="str">
        <f t="shared" si="45"/>
        <v>July</v>
      </c>
      <c r="G544" s="3">
        <v>45133</v>
      </c>
      <c r="H544" s="4" t="s">
        <v>575</v>
      </c>
      <c r="I544" s="4" t="s">
        <v>19</v>
      </c>
      <c r="J544" s="4" t="str" cm="1">
        <f t="array" ref="J544">_xlfn.IFS(K544&lt;30,"Young Adult",K544&lt;50,"Adult",K544&gt;=50,"Senior")</f>
        <v>Adult</v>
      </c>
      <c r="K544" s="4">
        <v>49</v>
      </c>
      <c r="L544" s="4" t="s">
        <v>20</v>
      </c>
      <c r="M544" s="4">
        <v>2</v>
      </c>
      <c r="N544" s="16">
        <v>300</v>
      </c>
      <c r="O544" s="17">
        <f>M544*N544</f>
        <v>600</v>
      </c>
      <c r="P544" s="13">
        <f>$O544*$U$4</f>
        <v>9</v>
      </c>
      <c r="Q544" s="13">
        <f>$O544*$U$5</f>
        <v>12</v>
      </c>
      <c r="R544" s="13" cm="1">
        <f t="array" ref="R544">_xlfn.IFS(B544=2023,O544*$U$4,B544=2024,O544*$U$5)</f>
        <v>9</v>
      </c>
    </row>
    <row r="545" spans="1:18">
      <c r="A545" s="2">
        <v>544</v>
      </c>
      <c r="B545" s="4">
        <f t="shared" si="41"/>
        <v>2023</v>
      </c>
      <c r="C545" s="4">
        <f t="shared" si="42"/>
        <v>12</v>
      </c>
      <c r="D545" s="4">
        <f t="shared" si="43"/>
        <v>23</v>
      </c>
      <c r="E545" s="4" t="str">
        <f t="shared" si="44"/>
        <v>Saturday</v>
      </c>
      <c r="F545" s="4" t="str">
        <f t="shared" si="45"/>
        <v>December</v>
      </c>
      <c r="G545" s="3">
        <v>45283</v>
      </c>
      <c r="H545" s="4" t="s">
        <v>576</v>
      </c>
      <c r="I545" s="4" t="s">
        <v>22</v>
      </c>
      <c r="J545" s="4" t="str" cm="1">
        <f t="array" ref="J545">_xlfn.IFS(K545&lt;30,"Young Adult",K545&lt;50,"Adult",K545&gt;=50,"Senior")</f>
        <v>Young Adult</v>
      </c>
      <c r="K545" s="4">
        <v>27</v>
      </c>
      <c r="L545" s="4" t="s">
        <v>26</v>
      </c>
      <c r="M545" s="4">
        <v>1</v>
      </c>
      <c r="N545" s="16">
        <v>25</v>
      </c>
      <c r="O545" s="17">
        <f>M545*N545</f>
        <v>25</v>
      </c>
      <c r="P545" s="13">
        <f>$O545*$U$4</f>
        <v>0.375</v>
      </c>
      <c r="Q545" s="13">
        <f>$O545*$U$5</f>
        <v>0.5</v>
      </c>
      <c r="R545" s="13" cm="1">
        <f t="array" ref="R545">_xlfn.IFS(B545=2023,O545*$U$4,B545=2024,O545*$U$5)</f>
        <v>0.375</v>
      </c>
    </row>
    <row r="546" spans="1:18">
      <c r="A546" s="2">
        <v>545</v>
      </c>
      <c r="B546" s="4">
        <f t="shared" si="41"/>
        <v>2023</v>
      </c>
      <c r="C546" s="4">
        <f t="shared" si="42"/>
        <v>6</v>
      </c>
      <c r="D546" s="4">
        <f t="shared" si="43"/>
        <v>1</v>
      </c>
      <c r="E546" s="4" t="str">
        <f t="shared" si="44"/>
        <v>Thursday</v>
      </c>
      <c r="F546" s="4" t="str">
        <f t="shared" si="45"/>
        <v>June</v>
      </c>
      <c r="G546" s="3">
        <v>45078</v>
      </c>
      <c r="H546" s="4" t="s">
        <v>577</v>
      </c>
      <c r="I546" s="4" t="s">
        <v>19</v>
      </c>
      <c r="J546" s="4" t="str" cm="1">
        <f t="array" ref="J546">_xlfn.IFS(K546&lt;30,"Young Adult",K546&lt;50,"Adult",K546&gt;=50,"Senior")</f>
        <v>Young Adult</v>
      </c>
      <c r="K546" s="4">
        <v>27</v>
      </c>
      <c r="L546" s="4" t="s">
        <v>23</v>
      </c>
      <c r="M546" s="4">
        <v>2</v>
      </c>
      <c r="N546" s="16">
        <v>25</v>
      </c>
      <c r="O546" s="17">
        <f>M546*N546</f>
        <v>50</v>
      </c>
      <c r="P546" s="13">
        <f>$O546*$U$4</f>
        <v>0.75</v>
      </c>
      <c r="Q546" s="13">
        <f>$O546*$U$5</f>
        <v>1</v>
      </c>
      <c r="R546" s="13" cm="1">
        <f t="array" ref="R546">_xlfn.IFS(B546=2023,O546*$U$4,B546=2024,O546*$U$5)</f>
        <v>0.75</v>
      </c>
    </row>
    <row r="547" spans="1:18">
      <c r="A547" s="2">
        <v>546</v>
      </c>
      <c r="B547" s="4">
        <f t="shared" si="41"/>
        <v>2023</v>
      </c>
      <c r="C547" s="4">
        <f t="shared" si="42"/>
        <v>10</v>
      </c>
      <c r="D547" s="4">
        <f t="shared" si="43"/>
        <v>11</v>
      </c>
      <c r="E547" s="4" t="str">
        <f t="shared" si="44"/>
        <v>Wednesday</v>
      </c>
      <c r="F547" s="4" t="str">
        <f t="shared" si="45"/>
        <v>October</v>
      </c>
      <c r="G547" s="3">
        <v>45210</v>
      </c>
      <c r="H547" s="4" t="s">
        <v>578</v>
      </c>
      <c r="I547" s="4" t="s">
        <v>22</v>
      </c>
      <c r="J547" s="4" t="str" cm="1">
        <f t="array" ref="J547">_xlfn.IFS(K547&lt;30,"Young Adult",K547&lt;50,"Adult",K547&gt;=50,"Senior")</f>
        <v>Adult</v>
      </c>
      <c r="K547" s="4">
        <v>36</v>
      </c>
      <c r="L547" s="4" t="s">
        <v>26</v>
      </c>
      <c r="M547" s="4">
        <v>4</v>
      </c>
      <c r="N547" s="16">
        <v>50</v>
      </c>
      <c r="O547" s="17">
        <f>M547*N547</f>
        <v>200</v>
      </c>
      <c r="P547" s="13">
        <f>$O547*$U$4</f>
        <v>3</v>
      </c>
      <c r="Q547" s="13">
        <f>$O547*$U$5</f>
        <v>4</v>
      </c>
      <c r="R547" s="13" cm="1">
        <f t="array" ref="R547">_xlfn.IFS(B547=2023,O547*$U$4,B547=2024,O547*$U$5)</f>
        <v>3</v>
      </c>
    </row>
    <row r="548" spans="1:18">
      <c r="A548" s="2">
        <v>547</v>
      </c>
      <c r="B548" s="4">
        <f t="shared" si="41"/>
        <v>2023</v>
      </c>
      <c r="C548" s="4">
        <f t="shared" si="42"/>
        <v>3</v>
      </c>
      <c r="D548" s="4">
        <f t="shared" si="43"/>
        <v>7</v>
      </c>
      <c r="E548" s="4" t="str">
        <f t="shared" si="44"/>
        <v>Tuesday</v>
      </c>
      <c r="F548" s="4" t="str">
        <f t="shared" si="45"/>
        <v>March</v>
      </c>
      <c r="G548" s="3">
        <v>44992</v>
      </c>
      <c r="H548" s="4" t="s">
        <v>579</v>
      </c>
      <c r="I548" s="4" t="s">
        <v>19</v>
      </c>
      <c r="J548" s="4" t="str" cm="1">
        <f t="array" ref="J548">_xlfn.IFS(K548&lt;30,"Young Adult",K548&lt;50,"Adult",K548&gt;=50,"Senior")</f>
        <v>Senior</v>
      </c>
      <c r="K548" s="4">
        <v>63</v>
      </c>
      <c r="L548" s="4" t="s">
        <v>23</v>
      </c>
      <c r="M548" s="4">
        <v>4</v>
      </c>
      <c r="N548" s="16">
        <v>500</v>
      </c>
      <c r="O548" s="17">
        <f>M548*N548</f>
        <v>2000</v>
      </c>
      <c r="P548" s="13">
        <f>$O548*$U$4</f>
        <v>30</v>
      </c>
      <c r="Q548" s="13">
        <f>$O548*$U$5</f>
        <v>40</v>
      </c>
      <c r="R548" s="13" cm="1">
        <f t="array" ref="R548">_xlfn.IFS(B548=2023,O548*$U$4,B548=2024,O548*$U$5)</f>
        <v>30</v>
      </c>
    </row>
    <row r="549" spans="1:18">
      <c r="A549" s="2">
        <v>548</v>
      </c>
      <c r="B549" s="4">
        <f t="shared" si="41"/>
        <v>2023</v>
      </c>
      <c r="C549" s="4">
        <f t="shared" si="42"/>
        <v>4</v>
      </c>
      <c r="D549" s="4">
        <f t="shared" si="43"/>
        <v>9</v>
      </c>
      <c r="E549" s="4" t="str">
        <f t="shared" si="44"/>
        <v>Sunday</v>
      </c>
      <c r="F549" s="4" t="str">
        <f t="shared" si="45"/>
        <v>April</v>
      </c>
      <c r="G549" s="3">
        <v>45025</v>
      </c>
      <c r="H549" s="4" t="s">
        <v>580</v>
      </c>
      <c r="I549" s="4" t="s">
        <v>22</v>
      </c>
      <c r="J549" s="4" t="str" cm="1">
        <f t="array" ref="J549">_xlfn.IFS(K549&lt;30,"Young Adult",K549&lt;50,"Adult",K549&gt;=50,"Senior")</f>
        <v>Senior</v>
      </c>
      <c r="K549" s="4">
        <v>51</v>
      </c>
      <c r="L549" s="4" t="s">
        <v>23</v>
      </c>
      <c r="M549" s="4">
        <v>2</v>
      </c>
      <c r="N549" s="16">
        <v>30</v>
      </c>
      <c r="O549" s="17">
        <f>M549*N549</f>
        <v>60</v>
      </c>
      <c r="P549" s="13">
        <f>$O549*$U$4</f>
        <v>0.89999999999999991</v>
      </c>
      <c r="Q549" s="13">
        <f>$O549*$U$5</f>
        <v>1.2</v>
      </c>
      <c r="R549" s="13" cm="1">
        <f t="array" ref="R549">_xlfn.IFS(B549=2023,O549*$U$4,B549=2024,O549*$U$5)</f>
        <v>0.89999999999999991</v>
      </c>
    </row>
    <row r="550" spans="1:18">
      <c r="A550" s="2">
        <v>549</v>
      </c>
      <c r="B550" s="4">
        <f t="shared" si="41"/>
        <v>2023</v>
      </c>
      <c r="C550" s="4">
        <f t="shared" si="42"/>
        <v>8</v>
      </c>
      <c r="D550" s="4">
        <f t="shared" si="43"/>
        <v>4</v>
      </c>
      <c r="E550" s="4" t="str">
        <f t="shared" si="44"/>
        <v>Friday</v>
      </c>
      <c r="F550" s="4" t="str">
        <f t="shared" si="45"/>
        <v>August</v>
      </c>
      <c r="G550" s="3">
        <v>45142</v>
      </c>
      <c r="H550" s="4" t="s">
        <v>581</v>
      </c>
      <c r="I550" s="4" t="s">
        <v>22</v>
      </c>
      <c r="J550" s="4" t="str" cm="1">
        <f t="array" ref="J550">_xlfn.IFS(K550&lt;30,"Young Adult",K550&lt;50,"Adult",K550&gt;=50,"Senior")</f>
        <v>Senior</v>
      </c>
      <c r="K550" s="4">
        <v>50</v>
      </c>
      <c r="L550" s="4" t="s">
        <v>20</v>
      </c>
      <c r="M550" s="4">
        <v>2</v>
      </c>
      <c r="N550" s="16">
        <v>50</v>
      </c>
      <c r="O550" s="17">
        <f>M550*N550</f>
        <v>100</v>
      </c>
      <c r="P550" s="13">
        <f>$O550*$U$4</f>
        <v>1.5</v>
      </c>
      <c r="Q550" s="13">
        <f>$O550*$U$5</f>
        <v>2</v>
      </c>
      <c r="R550" s="13" cm="1">
        <f t="array" ref="R550">_xlfn.IFS(B550=2023,O550*$U$4,B550=2024,O550*$U$5)</f>
        <v>1.5</v>
      </c>
    </row>
    <row r="551" spans="1:18">
      <c r="A551" s="2">
        <v>550</v>
      </c>
      <c r="B551" s="4">
        <f t="shared" si="41"/>
        <v>2023</v>
      </c>
      <c r="C551" s="4">
        <f t="shared" si="42"/>
        <v>12</v>
      </c>
      <c r="D551" s="4">
        <f t="shared" si="43"/>
        <v>7</v>
      </c>
      <c r="E551" s="4" t="str">
        <f t="shared" si="44"/>
        <v>Thursday</v>
      </c>
      <c r="F551" s="4" t="str">
        <f t="shared" si="45"/>
        <v>December</v>
      </c>
      <c r="G551" s="3">
        <v>45267</v>
      </c>
      <c r="H551" s="4" t="s">
        <v>582</v>
      </c>
      <c r="I551" s="4" t="s">
        <v>19</v>
      </c>
      <c r="J551" s="4" t="str" cm="1">
        <f t="array" ref="J551">_xlfn.IFS(K551&lt;30,"Young Adult",K551&lt;50,"Adult",K551&gt;=50,"Senior")</f>
        <v>Adult</v>
      </c>
      <c r="K551" s="4">
        <v>40</v>
      </c>
      <c r="L551" s="4" t="s">
        <v>23</v>
      </c>
      <c r="M551" s="4">
        <v>3</v>
      </c>
      <c r="N551" s="16">
        <v>300</v>
      </c>
      <c r="O551" s="17">
        <f>M551*N551</f>
        <v>900</v>
      </c>
      <c r="P551" s="13">
        <f>$O551*$U$4</f>
        <v>13.5</v>
      </c>
      <c r="Q551" s="13">
        <f>$O551*$U$5</f>
        <v>18</v>
      </c>
      <c r="R551" s="13" cm="1">
        <f t="array" ref="R551">_xlfn.IFS(B551=2023,O551*$U$4,B551=2024,O551*$U$5)</f>
        <v>13.5</v>
      </c>
    </row>
    <row r="552" spans="1:18">
      <c r="A552" s="2">
        <v>551</v>
      </c>
      <c r="B552" s="4">
        <f t="shared" si="41"/>
        <v>2023</v>
      </c>
      <c r="C552" s="4">
        <f t="shared" si="42"/>
        <v>7</v>
      </c>
      <c r="D552" s="4">
        <f t="shared" si="43"/>
        <v>14</v>
      </c>
      <c r="E552" s="4" t="str">
        <f t="shared" si="44"/>
        <v>Friday</v>
      </c>
      <c r="F552" s="4" t="str">
        <f t="shared" si="45"/>
        <v>July</v>
      </c>
      <c r="G552" s="3">
        <v>45121</v>
      </c>
      <c r="H552" s="4" t="s">
        <v>583</v>
      </c>
      <c r="I552" s="4" t="s">
        <v>19</v>
      </c>
      <c r="J552" s="4" t="str" cm="1">
        <f t="array" ref="J552">_xlfn.IFS(K552&lt;30,"Young Adult",K552&lt;50,"Adult",K552&gt;=50,"Senior")</f>
        <v>Adult</v>
      </c>
      <c r="K552" s="4">
        <v>45</v>
      </c>
      <c r="L552" s="4" t="s">
        <v>26</v>
      </c>
      <c r="M552" s="4">
        <v>3</v>
      </c>
      <c r="N552" s="16">
        <v>300</v>
      </c>
      <c r="O552" s="17">
        <f>M552*N552</f>
        <v>900</v>
      </c>
      <c r="P552" s="13">
        <f>$O552*$U$4</f>
        <v>13.5</v>
      </c>
      <c r="Q552" s="13">
        <f>$O552*$U$5</f>
        <v>18</v>
      </c>
      <c r="R552" s="13" cm="1">
        <f t="array" ref="R552">_xlfn.IFS(B552=2023,O552*$U$4,B552=2024,O552*$U$5)</f>
        <v>13.5</v>
      </c>
    </row>
    <row r="553" spans="1:18">
      <c r="A553" s="2">
        <v>552</v>
      </c>
      <c r="B553" s="4">
        <f t="shared" si="41"/>
        <v>2023</v>
      </c>
      <c r="C553" s="4">
        <f t="shared" si="42"/>
        <v>12</v>
      </c>
      <c r="D553" s="4">
        <f t="shared" si="43"/>
        <v>13</v>
      </c>
      <c r="E553" s="4" t="str">
        <f t="shared" si="44"/>
        <v>Wednesday</v>
      </c>
      <c r="F553" s="4" t="str">
        <f t="shared" si="45"/>
        <v>December</v>
      </c>
      <c r="G553" s="3">
        <v>45273</v>
      </c>
      <c r="H553" s="4" t="s">
        <v>584</v>
      </c>
      <c r="I553" s="4" t="s">
        <v>22</v>
      </c>
      <c r="J553" s="4" t="str" cm="1">
        <f t="array" ref="J553">_xlfn.IFS(K553&lt;30,"Young Adult",K553&lt;50,"Adult",K553&gt;=50,"Senior")</f>
        <v>Adult</v>
      </c>
      <c r="K553" s="4">
        <v>49</v>
      </c>
      <c r="L553" s="4" t="s">
        <v>26</v>
      </c>
      <c r="M553" s="4">
        <v>3</v>
      </c>
      <c r="N553" s="16">
        <v>25</v>
      </c>
      <c r="O553" s="17">
        <f>M553*N553</f>
        <v>75</v>
      </c>
      <c r="P553" s="13">
        <f>$O553*$U$4</f>
        <v>1.125</v>
      </c>
      <c r="Q553" s="13">
        <f>$O553*$U$5</f>
        <v>1.5</v>
      </c>
      <c r="R553" s="13" cm="1">
        <f t="array" ref="R553">_xlfn.IFS(B553=2023,O553*$U$4,B553=2024,O553*$U$5)</f>
        <v>1.125</v>
      </c>
    </row>
    <row r="554" spans="1:18">
      <c r="A554" s="2">
        <v>553</v>
      </c>
      <c r="B554" s="4">
        <f t="shared" si="41"/>
        <v>2023</v>
      </c>
      <c r="C554" s="4">
        <f t="shared" si="42"/>
        <v>3</v>
      </c>
      <c r="D554" s="4">
        <f t="shared" si="43"/>
        <v>31</v>
      </c>
      <c r="E554" s="4" t="str">
        <f t="shared" si="44"/>
        <v>Friday</v>
      </c>
      <c r="F554" s="4" t="str">
        <f t="shared" si="45"/>
        <v>March</v>
      </c>
      <c r="G554" s="3">
        <v>45016</v>
      </c>
      <c r="H554" s="4" t="s">
        <v>585</v>
      </c>
      <c r="I554" s="4" t="s">
        <v>19</v>
      </c>
      <c r="J554" s="4" t="str" cm="1">
        <f t="array" ref="J554">_xlfn.IFS(K554&lt;30,"Young Adult",K554&lt;50,"Adult",K554&gt;=50,"Senior")</f>
        <v>Young Adult</v>
      </c>
      <c r="K554" s="4">
        <v>24</v>
      </c>
      <c r="L554" s="4" t="s">
        <v>23</v>
      </c>
      <c r="M554" s="4">
        <v>4</v>
      </c>
      <c r="N554" s="16">
        <v>300</v>
      </c>
      <c r="O554" s="17">
        <f>M554*N554</f>
        <v>1200</v>
      </c>
      <c r="P554" s="13">
        <f>$O554*$U$4</f>
        <v>18</v>
      </c>
      <c r="Q554" s="13">
        <f>$O554*$U$5</f>
        <v>24</v>
      </c>
      <c r="R554" s="13" cm="1">
        <f t="array" ref="R554">_xlfn.IFS(B554=2023,O554*$U$4,B554=2024,O554*$U$5)</f>
        <v>18</v>
      </c>
    </row>
    <row r="555" spans="1:18">
      <c r="A555" s="2">
        <v>554</v>
      </c>
      <c r="B555" s="4">
        <f t="shared" si="41"/>
        <v>2023</v>
      </c>
      <c r="C555" s="4">
        <f t="shared" si="42"/>
        <v>11</v>
      </c>
      <c r="D555" s="4">
        <f t="shared" si="43"/>
        <v>12</v>
      </c>
      <c r="E555" s="4" t="str">
        <f t="shared" si="44"/>
        <v>Sunday</v>
      </c>
      <c r="F555" s="4" t="str">
        <f t="shared" si="45"/>
        <v>November</v>
      </c>
      <c r="G555" s="3">
        <v>45242</v>
      </c>
      <c r="H555" s="4" t="s">
        <v>586</v>
      </c>
      <c r="I555" s="4" t="s">
        <v>22</v>
      </c>
      <c r="J555" s="4" t="str" cm="1">
        <f t="array" ref="J555">_xlfn.IFS(K555&lt;30,"Young Adult",K555&lt;50,"Adult",K555&gt;=50,"Senior")</f>
        <v>Adult</v>
      </c>
      <c r="K555" s="4">
        <v>46</v>
      </c>
      <c r="L555" s="4" t="s">
        <v>20</v>
      </c>
      <c r="M555" s="4">
        <v>3</v>
      </c>
      <c r="N555" s="16">
        <v>50</v>
      </c>
      <c r="O555" s="17">
        <f>M555*N555</f>
        <v>150</v>
      </c>
      <c r="P555" s="13">
        <f>$O555*$U$4</f>
        <v>2.25</v>
      </c>
      <c r="Q555" s="13">
        <f>$O555*$U$5</f>
        <v>3</v>
      </c>
      <c r="R555" s="13" cm="1">
        <f t="array" ref="R555">_xlfn.IFS(B555=2023,O555*$U$4,B555=2024,O555*$U$5)</f>
        <v>2.25</v>
      </c>
    </row>
    <row r="556" spans="1:18">
      <c r="A556" s="2">
        <v>555</v>
      </c>
      <c r="B556" s="4">
        <f t="shared" si="41"/>
        <v>2023</v>
      </c>
      <c r="C556" s="4">
        <f t="shared" si="42"/>
        <v>10</v>
      </c>
      <c r="D556" s="4">
        <f t="shared" si="43"/>
        <v>19</v>
      </c>
      <c r="E556" s="4" t="str">
        <f t="shared" si="44"/>
        <v>Thursday</v>
      </c>
      <c r="F556" s="4" t="str">
        <f t="shared" si="45"/>
        <v>October</v>
      </c>
      <c r="G556" s="3">
        <v>45218</v>
      </c>
      <c r="H556" s="4" t="s">
        <v>587</v>
      </c>
      <c r="I556" s="4" t="s">
        <v>19</v>
      </c>
      <c r="J556" s="4" t="str" cm="1">
        <f t="array" ref="J556">_xlfn.IFS(K556&lt;30,"Young Adult",K556&lt;50,"Adult",K556&gt;=50,"Senior")</f>
        <v>Young Adult</v>
      </c>
      <c r="K556" s="4">
        <v>25</v>
      </c>
      <c r="L556" s="4" t="s">
        <v>20</v>
      </c>
      <c r="M556" s="4">
        <v>1</v>
      </c>
      <c r="N556" s="16">
        <v>300</v>
      </c>
      <c r="O556" s="17">
        <f>M556*N556</f>
        <v>300</v>
      </c>
      <c r="P556" s="13">
        <f>$O556*$U$4</f>
        <v>4.5</v>
      </c>
      <c r="Q556" s="13">
        <f>$O556*$U$5</f>
        <v>6</v>
      </c>
      <c r="R556" s="13" cm="1">
        <f t="array" ref="R556">_xlfn.IFS(B556=2023,O556*$U$4,B556=2024,O556*$U$5)</f>
        <v>4.5</v>
      </c>
    </row>
    <row r="557" spans="1:18">
      <c r="A557" s="2">
        <v>556</v>
      </c>
      <c r="B557" s="4">
        <f t="shared" si="41"/>
        <v>2023</v>
      </c>
      <c r="C557" s="4">
        <f t="shared" si="42"/>
        <v>6</v>
      </c>
      <c r="D557" s="4">
        <f t="shared" si="43"/>
        <v>4</v>
      </c>
      <c r="E557" s="4" t="str">
        <f t="shared" si="44"/>
        <v>Sunday</v>
      </c>
      <c r="F557" s="4" t="str">
        <f t="shared" si="45"/>
        <v>June</v>
      </c>
      <c r="G557" s="3">
        <v>45081</v>
      </c>
      <c r="H557" s="4" t="s">
        <v>588</v>
      </c>
      <c r="I557" s="4" t="s">
        <v>22</v>
      </c>
      <c r="J557" s="4" t="str" cm="1">
        <f t="array" ref="J557">_xlfn.IFS(K557&lt;30,"Young Adult",K557&lt;50,"Adult",K557&gt;=50,"Senior")</f>
        <v>Young Adult</v>
      </c>
      <c r="K557" s="4">
        <v>18</v>
      </c>
      <c r="L557" s="4" t="s">
        <v>26</v>
      </c>
      <c r="M557" s="4">
        <v>1</v>
      </c>
      <c r="N557" s="16">
        <v>50</v>
      </c>
      <c r="O557" s="17">
        <f>M557*N557</f>
        <v>50</v>
      </c>
      <c r="P557" s="13">
        <f>$O557*$U$4</f>
        <v>0.75</v>
      </c>
      <c r="Q557" s="13">
        <f>$O557*$U$5</f>
        <v>1</v>
      </c>
      <c r="R557" s="13" cm="1">
        <f t="array" ref="R557">_xlfn.IFS(B557=2023,O557*$U$4,B557=2024,O557*$U$5)</f>
        <v>0.75</v>
      </c>
    </row>
    <row r="558" spans="1:18">
      <c r="A558" s="2">
        <v>557</v>
      </c>
      <c r="B558" s="4">
        <f t="shared" si="41"/>
        <v>2023</v>
      </c>
      <c r="C558" s="4">
        <f t="shared" si="42"/>
        <v>7</v>
      </c>
      <c r="D558" s="4">
        <f t="shared" si="43"/>
        <v>27</v>
      </c>
      <c r="E558" s="4" t="str">
        <f t="shared" si="44"/>
        <v>Thursday</v>
      </c>
      <c r="F558" s="4" t="str">
        <f t="shared" si="45"/>
        <v>July</v>
      </c>
      <c r="G558" s="3">
        <v>45134</v>
      </c>
      <c r="H558" s="4" t="s">
        <v>589</v>
      </c>
      <c r="I558" s="4" t="s">
        <v>22</v>
      </c>
      <c r="J558" s="4" t="str" cm="1">
        <f t="array" ref="J558">_xlfn.IFS(K558&lt;30,"Young Adult",K558&lt;50,"Adult",K558&gt;=50,"Senior")</f>
        <v>Young Adult</v>
      </c>
      <c r="K558" s="4">
        <v>20</v>
      </c>
      <c r="L558" s="4" t="s">
        <v>20</v>
      </c>
      <c r="M558" s="4">
        <v>3</v>
      </c>
      <c r="N558" s="16">
        <v>30</v>
      </c>
      <c r="O558" s="17">
        <f>M558*N558</f>
        <v>90</v>
      </c>
      <c r="P558" s="13">
        <f>$O558*$U$4</f>
        <v>1.3499999999999999</v>
      </c>
      <c r="Q558" s="13">
        <f>$O558*$U$5</f>
        <v>1.8</v>
      </c>
      <c r="R558" s="13" cm="1">
        <f t="array" ref="R558">_xlfn.IFS(B558=2023,O558*$U$4,B558=2024,O558*$U$5)</f>
        <v>1.3499999999999999</v>
      </c>
    </row>
    <row r="559" spans="1:18">
      <c r="A559" s="2">
        <v>558</v>
      </c>
      <c r="B559" s="4">
        <f t="shared" si="41"/>
        <v>2023</v>
      </c>
      <c r="C559" s="4">
        <f t="shared" si="42"/>
        <v>10</v>
      </c>
      <c r="D559" s="4">
        <f t="shared" si="43"/>
        <v>8</v>
      </c>
      <c r="E559" s="4" t="str">
        <f t="shared" si="44"/>
        <v>Sunday</v>
      </c>
      <c r="F559" s="4" t="str">
        <f t="shared" si="45"/>
        <v>October</v>
      </c>
      <c r="G559" s="3">
        <v>45207</v>
      </c>
      <c r="H559" s="4" t="s">
        <v>590</v>
      </c>
      <c r="I559" s="4" t="s">
        <v>22</v>
      </c>
      <c r="J559" s="4" t="str" cm="1">
        <f t="array" ref="J559">_xlfn.IFS(K559&lt;30,"Young Adult",K559&lt;50,"Adult",K559&gt;=50,"Senior")</f>
        <v>Adult</v>
      </c>
      <c r="K559" s="4">
        <v>41</v>
      </c>
      <c r="L559" s="4" t="s">
        <v>23</v>
      </c>
      <c r="M559" s="4">
        <v>1</v>
      </c>
      <c r="N559" s="16">
        <v>25</v>
      </c>
      <c r="O559" s="17">
        <f>M559*N559</f>
        <v>25</v>
      </c>
      <c r="P559" s="13">
        <f>$O559*$U$4</f>
        <v>0.375</v>
      </c>
      <c r="Q559" s="13">
        <f>$O559*$U$5</f>
        <v>0.5</v>
      </c>
      <c r="R559" s="13" cm="1">
        <f t="array" ref="R559">_xlfn.IFS(B559=2023,O559*$U$4,B559=2024,O559*$U$5)</f>
        <v>0.375</v>
      </c>
    </row>
    <row r="560" spans="1:18">
      <c r="A560" s="2">
        <v>559</v>
      </c>
      <c r="B560" s="4">
        <f t="shared" si="41"/>
        <v>2023</v>
      </c>
      <c r="C560" s="4">
        <f t="shared" si="42"/>
        <v>1</v>
      </c>
      <c r="D560" s="4">
        <f t="shared" si="43"/>
        <v>1</v>
      </c>
      <c r="E560" s="4" t="str">
        <f t="shared" si="44"/>
        <v>Sunday</v>
      </c>
      <c r="F560" s="4" t="str">
        <f t="shared" si="45"/>
        <v>January</v>
      </c>
      <c r="G560" s="3">
        <v>44927</v>
      </c>
      <c r="H560" s="4" t="s">
        <v>591</v>
      </c>
      <c r="I560" s="4" t="s">
        <v>22</v>
      </c>
      <c r="J560" s="4" t="str" cm="1">
        <f t="array" ref="J560">_xlfn.IFS(K560&lt;30,"Young Adult",K560&lt;50,"Adult",K560&gt;=50,"Senior")</f>
        <v>Adult</v>
      </c>
      <c r="K560" s="4">
        <v>40</v>
      </c>
      <c r="L560" s="4" t="s">
        <v>23</v>
      </c>
      <c r="M560" s="4">
        <v>4</v>
      </c>
      <c r="N560" s="16">
        <v>300</v>
      </c>
      <c r="O560" s="17">
        <f>M560*N560</f>
        <v>1200</v>
      </c>
      <c r="P560" s="13">
        <f>$O560*$U$4</f>
        <v>18</v>
      </c>
      <c r="Q560" s="13">
        <f>$O560*$U$5</f>
        <v>24</v>
      </c>
      <c r="R560" s="13" cm="1">
        <f t="array" ref="R560">_xlfn.IFS(B560=2023,O560*$U$4,B560=2024,O560*$U$5)</f>
        <v>18</v>
      </c>
    </row>
    <row r="561" spans="1:18">
      <c r="A561" s="2">
        <v>560</v>
      </c>
      <c r="B561" s="4">
        <f t="shared" si="41"/>
        <v>2023</v>
      </c>
      <c r="C561" s="4">
        <f t="shared" si="42"/>
        <v>6</v>
      </c>
      <c r="D561" s="4">
        <f t="shared" si="43"/>
        <v>5</v>
      </c>
      <c r="E561" s="4" t="str">
        <f t="shared" si="44"/>
        <v>Monday</v>
      </c>
      <c r="F561" s="4" t="str">
        <f t="shared" si="45"/>
        <v>June</v>
      </c>
      <c r="G561" s="3">
        <v>45082</v>
      </c>
      <c r="H561" s="4" t="s">
        <v>592</v>
      </c>
      <c r="I561" s="4" t="s">
        <v>22</v>
      </c>
      <c r="J561" s="4" t="str" cm="1">
        <f t="array" ref="J561">_xlfn.IFS(K561&lt;30,"Young Adult",K561&lt;50,"Adult",K561&gt;=50,"Senior")</f>
        <v>Young Adult</v>
      </c>
      <c r="K561" s="4">
        <v>25</v>
      </c>
      <c r="L561" s="4" t="s">
        <v>26</v>
      </c>
      <c r="M561" s="4">
        <v>1</v>
      </c>
      <c r="N561" s="16">
        <v>50</v>
      </c>
      <c r="O561" s="17">
        <f>M561*N561</f>
        <v>50</v>
      </c>
      <c r="P561" s="13">
        <f>$O561*$U$4</f>
        <v>0.75</v>
      </c>
      <c r="Q561" s="13">
        <f>$O561*$U$5</f>
        <v>1</v>
      </c>
      <c r="R561" s="13" cm="1">
        <f t="array" ref="R561">_xlfn.IFS(B561=2023,O561*$U$4,B561=2024,O561*$U$5)</f>
        <v>0.75</v>
      </c>
    </row>
    <row r="562" spans="1:18">
      <c r="A562" s="2">
        <v>561</v>
      </c>
      <c r="B562" s="4">
        <f t="shared" si="41"/>
        <v>2023</v>
      </c>
      <c r="C562" s="4">
        <f t="shared" si="42"/>
        <v>5</v>
      </c>
      <c r="D562" s="4">
        <f t="shared" si="43"/>
        <v>27</v>
      </c>
      <c r="E562" s="4" t="str">
        <f t="shared" si="44"/>
        <v>Saturday</v>
      </c>
      <c r="F562" s="4" t="str">
        <f t="shared" si="45"/>
        <v>May</v>
      </c>
      <c r="G562" s="3">
        <v>45073</v>
      </c>
      <c r="H562" s="4" t="s">
        <v>593</v>
      </c>
      <c r="I562" s="4" t="s">
        <v>22</v>
      </c>
      <c r="J562" s="4" t="str" cm="1">
        <f t="array" ref="J562">_xlfn.IFS(K562&lt;30,"Young Adult",K562&lt;50,"Adult",K562&gt;=50,"Senior")</f>
        <v>Senior</v>
      </c>
      <c r="K562" s="4">
        <v>64</v>
      </c>
      <c r="L562" s="4" t="s">
        <v>23</v>
      </c>
      <c r="M562" s="4">
        <v>4</v>
      </c>
      <c r="N562" s="16">
        <v>500</v>
      </c>
      <c r="O562" s="17">
        <f>M562*N562</f>
        <v>2000</v>
      </c>
      <c r="P562" s="13">
        <f>$O562*$U$4</f>
        <v>30</v>
      </c>
      <c r="Q562" s="13">
        <f>$O562*$U$5</f>
        <v>40</v>
      </c>
      <c r="R562" s="13" cm="1">
        <f t="array" ref="R562">_xlfn.IFS(B562=2023,O562*$U$4,B562=2024,O562*$U$5)</f>
        <v>30</v>
      </c>
    </row>
    <row r="563" spans="1:18">
      <c r="A563" s="2">
        <v>562</v>
      </c>
      <c r="B563" s="4">
        <f t="shared" si="41"/>
        <v>2023</v>
      </c>
      <c r="C563" s="4">
        <f t="shared" si="42"/>
        <v>4</v>
      </c>
      <c r="D563" s="4">
        <f t="shared" si="43"/>
        <v>18</v>
      </c>
      <c r="E563" s="4" t="str">
        <f t="shared" si="44"/>
        <v>Tuesday</v>
      </c>
      <c r="F563" s="4" t="str">
        <f t="shared" si="45"/>
        <v>April</v>
      </c>
      <c r="G563" s="3">
        <v>45034</v>
      </c>
      <c r="H563" s="4" t="s">
        <v>594</v>
      </c>
      <c r="I563" s="4" t="s">
        <v>19</v>
      </c>
      <c r="J563" s="4" t="str" cm="1">
        <f t="array" ref="J563">_xlfn.IFS(K563&lt;30,"Young Adult",K563&lt;50,"Adult",K563&gt;=50,"Senior")</f>
        <v>Senior</v>
      </c>
      <c r="K563" s="4">
        <v>54</v>
      </c>
      <c r="L563" s="4" t="s">
        <v>26</v>
      </c>
      <c r="M563" s="4">
        <v>2</v>
      </c>
      <c r="N563" s="16">
        <v>25</v>
      </c>
      <c r="O563" s="17">
        <f>M563*N563</f>
        <v>50</v>
      </c>
      <c r="P563" s="13">
        <f>$O563*$U$4</f>
        <v>0.75</v>
      </c>
      <c r="Q563" s="13">
        <f>$O563*$U$5</f>
        <v>1</v>
      </c>
      <c r="R563" s="13" cm="1">
        <f t="array" ref="R563">_xlfn.IFS(B563=2023,O563*$U$4,B563=2024,O563*$U$5)</f>
        <v>0.75</v>
      </c>
    </row>
    <row r="564" spans="1:18">
      <c r="A564" s="2">
        <v>563</v>
      </c>
      <c r="B564" s="4">
        <f t="shared" si="41"/>
        <v>2023</v>
      </c>
      <c r="C564" s="4">
        <f t="shared" si="42"/>
        <v>8</v>
      </c>
      <c r="D564" s="4">
        <f t="shared" si="43"/>
        <v>9</v>
      </c>
      <c r="E564" s="4" t="str">
        <f t="shared" si="44"/>
        <v>Wednesday</v>
      </c>
      <c r="F564" s="4" t="str">
        <f t="shared" si="45"/>
        <v>August</v>
      </c>
      <c r="G564" s="3">
        <v>45147</v>
      </c>
      <c r="H564" s="4" t="s">
        <v>595</v>
      </c>
      <c r="I564" s="4" t="s">
        <v>19</v>
      </c>
      <c r="J564" s="4" t="str" cm="1">
        <f t="array" ref="J564">_xlfn.IFS(K564&lt;30,"Young Adult",K564&lt;50,"Adult",K564&gt;=50,"Senior")</f>
        <v>Young Adult</v>
      </c>
      <c r="K564" s="4">
        <v>20</v>
      </c>
      <c r="L564" s="4" t="s">
        <v>23</v>
      </c>
      <c r="M564" s="4">
        <v>2</v>
      </c>
      <c r="N564" s="16">
        <v>30</v>
      </c>
      <c r="O564" s="17">
        <f>M564*N564</f>
        <v>60</v>
      </c>
      <c r="P564" s="13">
        <f>$O564*$U$4</f>
        <v>0.89999999999999991</v>
      </c>
      <c r="Q564" s="13">
        <f>$O564*$U$5</f>
        <v>1.2</v>
      </c>
      <c r="R564" s="13" cm="1">
        <f t="array" ref="R564">_xlfn.IFS(B564=2023,O564*$U$4,B564=2024,O564*$U$5)</f>
        <v>0.89999999999999991</v>
      </c>
    </row>
    <row r="565" spans="1:18">
      <c r="A565" s="2">
        <v>564</v>
      </c>
      <c r="B565" s="4">
        <f t="shared" si="41"/>
        <v>2023</v>
      </c>
      <c r="C565" s="4">
        <f t="shared" si="42"/>
        <v>10</v>
      </c>
      <c r="D565" s="4">
        <f t="shared" si="43"/>
        <v>24</v>
      </c>
      <c r="E565" s="4" t="str">
        <f t="shared" si="44"/>
        <v>Tuesday</v>
      </c>
      <c r="F565" s="4" t="str">
        <f t="shared" si="45"/>
        <v>October</v>
      </c>
      <c r="G565" s="3">
        <v>45223</v>
      </c>
      <c r="H565" s="4" t="s">
        <v>596</v>
      </c>
      <c r="I565" s="4" t="s">
        <v>19</v>
      </c>
      <c r="J565" s="4" t="str" cm="1">
        <f t="array" ref="J565">_xlfn.IFS(K565&lt;30,"Young Adult",K565&lt;50,"Adult",K565&gt;=50,"Senior")</f>
        <v>Senior</v>
      </c>
      <c r="K565" s="4">
        <v>50</v>
      </c>
      <c r="L565" s="4" t="s">
        <v>26</v>
      </c>
      <c r="M565" s="4">
        <v>2</v>
      </c>
      <c r="N565" s="16">
        <v>50</v>
      </c>
      <c r="O565" s="17">
        <f>M565*N565</f>
        <v>100</v>
      </c>
      <c r="P565" s="13">
        <f>$O565*$U$4</f>
        <v>1.5</v>
      </c>
      <c r="Q565" s="13">
        <f>$O565*$U$5</f>
        <v>2</v>
      </c>
      <c r="R565" s="13" cm="1">
        <f t="array" ref="R565">_xlfn.IFS(B565=2023,O565*$U$4,B565=2024,O565*$U$5)</f>
        <v>1.5</v>
      </c>
    </row>
    <row r="566" spans="1:18">
      <c r="A566" s="2">
        <v>565</v>
      </c>
      <c r="B566" s="4">
        <f t="shared" si="41"/>
        <v>2023</v>
      </c>
      <c r="C566" s="4">
        <f t="shared" si="42"/>
        <v>11</v>
      </c>
      <c r="D566" s="4">
        <f t="shared" si="43"/>
        <v>7</v>
      </c>
      <c r="E566" s="4" t="str">
        <f t="shared" si="44"/>
        <v>Tuesday</v>
      </c>
      <c r="F566" s="4" t="str">
        <f t="shared" si="45"/>
        <v>November</v>
      </c>
      <c r="G566" s="3">
        <v>45237</v>
      </c>
      <c r="H566" s="4" t="s">
        <v>597</v>
      </c>
      <c r="I566" s="4" t="s">
        <v>22</v>
      </c>
      <c r="J566" s="4" t="str" cm="1">
        <f t="array" ref="J566">_xlfn.IFS(K566&lt;30,"Young Adult",K566&lt;50,"Adult",K566&gt;=50,"Senior")</f>
        <v>Adult</v>
      </c>
      <c r="K566" s="4">
        <v>45</v>
      </c>
      <c r="L566" s="4" t="s">
        <v>20</v>
      </c>
      <c r="M566" s="4">
        <v>2</v>
      </c>
      <c r="N566" s="16">
        <v>30</v>
      </c>
      <c r="O566" s="17">
        <f>M566*N566</f>
        <v>60</v>
      </c>
      <c r="P566" s="13">
        <f>$O566*$U$4</f>
        <v>0.89999999999999991</v>
      </c>
      <c r="Q566" s="13">
        <f>$O566*$U$5</f>
        <v>1.2</v>
      </c>
      <c r="R566" s="13" cm="1">
        <f t="array" ref="R566">_xlfn.IFS(B566=2023,O566*$U$4,B566=2024,O566*$U$5)</f>
        <v>0.89999999999999991</v>
      </c>
    </row>
    <row r="567" spans="1:18">
      <c r="A567" s="2">
        <v>566</v>
      </c>
      <c r="B567" s="4">
        <f t="shared" si="41"/>
        <v>2023</v>
      </c>
      <c r="C567" s="4">
        <f t="shared" si="42"/>
        <v>12</v>
      </c>
      <c r="D567" s="4">
        <f t="shared" si="43"/>
        <v>2</v>
      </c>
      <c r="E567" s="4" t="str">
        <f t="shared" si="44"/>
        <v>Saturday</v>
      </c>
      <c r="F567" s="4" t="str">
        <f t="shared" si="45"/>
        <v>December</v>
      </c>
      <c r="G567" s="3">
        <v>45262</v>
      </c>
      <c r="H567" s="4" t="s">
        <v>598</v>
      </c>
      <c r="I567" s="4" t="s">
        <v>22</v>
      </c>
      <c r="J567" s="4" t="str" cm="1">
        <f t="array" ref="J567">_xlfn.IFS(K567&lt;30,"Young Adult",K567&lt;50,"Adult",K567&gt;=50,"Senior")</f>
        <v>Senior</v>
      </c>
      <c r="K567" s="4">
        <v>64</v>
      </c>
      <c r="L567" s="4" t="s">
        <v>23</v>
      </c>
      <c r="M567" s="4">
        <v>1</v>
      </c>
      <c r="N567" s="16">
        <v>30</v>
      </c>
      <c r="O567" s="17">
        <f>M567*N567</f>
        <v>30</v>
      </c>
      <c r="P567" s="13">
        <f>$O567*$U$4</f>
        <v>0.44999999999999996</v>
      </c>
      <c r="Q567" s="13">
        <f>$O567*$U$5</f>
        <v>0.6</v>
      </c>
      <c r="R567" s="13" cm="1">
        <f t="array" ref="R567">_xlfn.IFS(B567=2023,O567*$U$4,B567=2024,O567*$U$5)</f>
        <v>0.44999999999999996</v>
      </c>
    </row>
    <row r="568" spans="1:18">
      <c r="A568" s="2">
        <v>567</v>
      </c>
      <c r="B568" s="4">
        <f t="shared" si="41"/>
        <v>2023</v>
      </c>
      <c r="C568" s="4">
        <f t="shared" si="42"/>
        <v>6</v>
      </c>
      <c r="D568" s="4">
        <f t="shared" si="43"/>
        <v>14</v>
      </c>
      <c r="E568" s="4" t="str">
        <f t="shared" si="44"/>
        <v>Wednesday</v>
      </c>
      <c r="F568" s="4" t="str">
        <f t="shared" si="45"/>
        <v>June</v>
      </c>
      <c r="G568" s="3">
        <v>45091</v>
      </c>
      <c r="H568" s="4" t="s">
        <v>599</v>
      </c>
      <c r="I568" s="4" t="s">
        <v>22</v>
      </c>
      <c r="J568" s="4" t="str" cm="1">
        <f t="array" ref="J568">_xlfn.IFS(K568&lt;30,"Young Adult",K568&lt;50,"Adult",K568&gt;=50,"Senior")</f>
        <v>Young Adult</v>
      </c>
      <c r="K568" s="4">
        <v>25</v>
      </c>
      <c r="L568" s="4" t="s">
        <v>23</v>
      </c>
      <c r="M568" s="4">
        <v>3</v>
      </c>
      <c r="N568" s="16">
        <v>300</v>
      </c>
      <c r="O568" s="17">
        <f>M568*N568</f>
        <v>900</v>
      </c>
      <c r="P568" s="13">
        <f>$O568*$U$4</f>
        <v>13.5</v>
      </c>
      <c r="Q568" s="13">
        <f>$O568*$U$5</f>
        <v>18</v>
      </c>
      <c r="R568" s="13" cm="1">
        <f t="array" ref="R568">_xlfn.IFS(B568=2023,O568*$U$4,B568=2024,O568*$U$5)</f>
        <v>13.5</v>
      </c>
    </row>
    <row r="569" spans="1:18">
      <c r="A569" s="2">
        <v>568</v>
      </c>
      <c r="B569" s="4">
        <f t="shared" si="41"/>
        <v>2023</v>
      </c>
      <c r="C569" s="4">
        <f t="shared" si="42"/>
        <v>8</v>
      </c>
      <c r="D569" s="4">
        <f t="shared" si="43"/>
        <v>27</v>
      </c>
      <c r="E569" s="4" t="str">
        <f t="shared" si="44"/>
        <v>Sunday</v>
      </c>
      <c r="F569" s="4" t="str">
        <f t="shared" si="45"/>
        <v>August</v>
      </c>
      <c r="G569" s="3">
        <v>45165</v>
      </c>
      <c r="H569" s="4" t="s">
        <v>600</v>
      </c>
      <c r="I569" s="4" t="s">
        <v>22</v>
      </c>
      <c r="J569" s="4" t="str" cm="1">
        <f t="array" ref="J569">_xlfn.IFS(K569&lt;30,"Young Adult",K569&lt;50,"Adult",K569&gt;=50,"Senior")</f>
        <v>Senior</v>
      </c>
      <c r="K569" s="4">
        <v>51</v>
      </c>
      <c r="L569" s="4" t="s">
        <v>26</v>
      </c>
      <c r="M569" s="4">
        <v>1</v>
      </c>
      <c r="N569" s="16">
        <v>300</v>
      </c>
      <c r="O569" s="17">
        <f>M569*N569</f>
        <v>300</v>
      </c>
      <c r="P569" s="13">
        <f>$O569*$U$4</f>
        <v>4.5</v>
      </c>
      <c r="Q569" s="13">
        <f>$O569*$U$5</f>
        <v>6</v>
      </c>
      <c r="R569" s="13" cm="1">
        <f t="array" ref="R569">_xlfn.IFS(B569=2023,O569*$U$4,B569=2024,O569*$U$5)</f>
        <v>4.5</v>
      </c>
    </row>
    <row r="570" spans="1:18">
      <c r="A570" s="2">
        <v>569</v>
      </c>
      <c r="B570" s="4">
        <f t="shared" si="41"/>
        <v>2023</v>
      </c>
      <c r="C570" s="4">
        <f t="shared" si="42"/>
        <v>8</v>
      </c>
      <c r="D570" s="4">
        <f t="shared" si="43"/>
        <v>15</v>
      </c>
      <c r="E570" s="4" t="str">
        <f t="shared" si="44"/>
        <v>Tuesday</v>
      </c>
      <c r="F570" s="4" t="str">
        <f t="shared" si="45"/>
        <v>August</v>
      </c>
      <c r="G570" s="3">
        <v>45153</v>
      </c>
      <c r="H570" s="4" t="s">
        <v>601</v>
      </c>
      <c r="I570" s="4" t="s">
        <v>19</v>
      </c>
      <c r="J570" s="4" t="str" cm="1">
        <f t="array" ref="J570">_xlfn.IFS(K570&lt;30,"Young Adult",K570&lt;50,"Adult",K570&gt;=50,"Senior")</f>
        <v>Senior</v>
      </c>
      <c r="K570" s="4">
        <v>52</v>
      </c>
      <c r="L570" s="4" t="s">
        <v>26</v>
      </c>
      <c r="M570" s="4">
        <v>4</v>
      </c>
      <c r="N570" s="16">
        <v>50</v>
      </c>
      <c r="O570" s="17">
        <f>M570*N570</f>
        <v>200</v>
      </c>
      <c r="P570" s="13">
        <f>$O570*$U$4</f>
        <v>3</v>
      </c>
      <c r="Q570" s="13">
        <f>$O570*$U$5</f>
        <v>4</v>
      </c>
      <c r="R570" s="13" cm="1">
        <f t="array" ref="R570">_xlfn.IFS(B570=2023,O570*$U$4,B570=2024,O570*$U$5)</f>
        <v>3</v>
      </c>
    </row>
    <row r="571" spans="1:18">
      <c r="A571" s="2">
        <v>570</v>
      </c>
      <c r="B571" s="4">
        <f t="shared" si="41"/>
        <v>2023</v>
      </c>
      <c r="C571" s="4">
        <f t="shared" si="42"/>
        <v>8</v>
      </c>
      <c r="D571" s="4">
        <f t="shared" si="43"/>
        <v>15</v>
      </c>
      <c r="E571" s="4" t="str">
        <f t="shared" si="44"/>
        <v>Tuesday</v>
      </c>
      <c r="F571" s="4" t="str">
        <f t="shared" si="45"/>
        <v>August</v>
      </c>
      <c r="G571" s="3">
        <v>45153</v>
      </c>
      <c r="H571" s="4" t="s">
        <v>602</v>
      </c>
      <c r="I571" s="4" t="s">
        <v>19</v>
      </c>
      <c r="J571" s="4" t="str" cm="1">
        <f t="array" ref="J571">_xlfn.IFS(K571&lt;30,"Young Adult",K571&lt;50,"Adult",K571&gt;=50,"Senior")</f>
        <v>Adult</v>
      </c>
      <c r="K571" s="4">
        <v>49</v>
      </c>
      <c r="L571" s="4" t="s">
        <v>23</v>
      </c>
      <c r="M571" s="4">
        <v>1</v>
      </c>
      <c r="N571" s="16">
        <v>500</v>
      </c>
      <c r="O571" s="17">
        <f>M571*N571</f>
        <v>500</v>
      </c>
      <c r="P571" s="13">
        <f>$O571*$U$4</f>
        <v>7.5</v>
      </c>
      <c r="Q571" s="13">
        <f>$O571*$U$5</f>
        <v>10</v>
      </c>
      <c r="R571" s="13" cm="1">
        <f t="array" ref="R571">_xlfn.IFS(B571=2023,O571*$U$4,B571=2024,O571*$U$5)</f>
        <v>7.5</v>
      </c>
    </row>
    <row r="572" spans="1:18">
      <c r="A572" s="2">
        <v>571</v>
      </c>
      <c r="B572" s="4">
        <f t="shared" si="41"/>
        <v>2023</v>
      </c>
      <c r="C572" s="4">
        <f t="shared" si="42"/>
        <v>12</v>
      </c>
      <c r="D572" s="4">
        <f t="shared" si="43"/>
        <v>12</v>
      </c>
      <c r="E572" s="4" t="str">
        <f t="shared" si="44"/>
        <v>Tuesday</v>
      </c>
      <c r="F572" s="4" t="str">
        <f t="shared" si="45"/>
        <v>December</v>
      </c>
      <c r="G572" s="3">
        <v>45272</v>
      </c>
      <c r="H572" s="4" t="s">
        <v>603</v>
      </c>
      <c r="I572" s="4" t="s">
        <v>22</v>
      </c>
      <c r="J572" s="4" t="str" cm="1">
        <f t="array" ref="J572">_xlfn.IFS(K572&lt;30,"Young Adult",K572&lt;50,"Adult",K572&gt;=50,"Senior")</f>
        <v>Adult</v>
      </c>
      <c r="K572" s="4">
        <v>41</v>
      </c>
      <c r="L572" s="4" t="s">
        <v>26</v>
      </c>
      <c r="M572" s="4">
        <v>1</v>
      </c>
      <c r="N572" s="16">
        <v>50</v>
      </c>
      <c r="O572" s="17">
        <f>M572*N572</f>
        <v>50</v>
      </c>
      <c r="P572" s="13">
        <f>$O572*$U$4</f>
        <v>0.75</v>
      </c>
      <c r="Q572" s="13">
        <f>$O572*$U$5</f>
        <v>1</v>
      </c>
      <c r="R572" s="13" cm="1">
        <f t="array" ref="R572">_xlfn.IFS(B572=2023,O572*$U$4,B572=2024,O572*$U$5)</f>
        <v>0.75</v>
      </c>
    </row>
    <row r="573" spans="1:18">
      <c r="A573" s="2">
        <v>572</v>
      </c>
      <c r="B573" s="4">
        <f t="shared" si="41"/>
        <v>2023</v>
      </c>
      <c r="C573" s="4">
        <f t="shared" si="42"/>
        <v>4</v>
      </c>
      <c r="D573" s="4">
        <f t="shared" si="43"/>
        <v>20</v>
      </c>
      <c r="E573" s="4" t="str">
        <f t="shared" si="44"/>
        <v>Thursday</v>
      </c>
      <c r="F573" s="4" t="str">
        <f t="shared" si="45"/>
        <v>April</v>
      </c>
      <c r="G573" s="3">
        <v>45036</v>
      </c>
      <c r="H573" s="4" t="s">
        <v>604</v>
      </c>
      <c r="I573" s="4" t="s">
        <v>19</v>
      </c>
      <c r="J573" s="4" t="str" cm="1">
        <f t="array" ref="J573">_xlfn.IFS(K573&lt;30,"Young Adult",K573&lt;50,"Adult",K573&gt;=50,"Senior")</f>
        <v>Adult</v>
      </c>
      <c r="K573" s="4">
        <v>31</v>
      </c>
      <c r="L573" s="4" t="s">
        <v>23</v>
      </c>
      <c r="M573" s="4">
        <v>4</v>
      </c>
      <c r="N573" s="16">
        <v>500</v>
      </c>
      <c r="O573" s="17">
        <f>M573*N573</f>
        <v>2000</v>
      </c>
      <c r="P573" s="13">
        <f>$O573*$U$4</f>
        <v>30</v>
      </c>
      <c r="Q573" s="13">
        <f>$O573*$U$5</f>
        <v>40</v>
      </c>
      <c r="R573" s="13" cm="1">
        <f t="array" ref="R573">_xlfn.IFS(B573=2023,O573*$U$4,B573=2024,O573*$U$5)</f>
        <v>30</v>
      </c>
    </row>
    <row r="574" spans="1:18">
      <c r="A574" s="2">
        <v>573</v>
      </c>
      <c r="B574" s="4">
        <f t="shared" si="41"/>
        <v>2023</v>
      </c>
      <c r="C574" s="4">
        <f t="shared" si="42"/>
        <v>9</v>
      </c>
      <c r="D574" s="4">
        <f t="shared" si="43"/>
        <v>19</v>
      </c>
      <c r="E574" s="4" t="str">
        <f t="shared" si="44"/>
        <v>Tuesday</v>
      </c>
      <c r="F574" s="4" t="str">
        <f t="shared" si="45"/>
        <v>September</v>
      </c>
      <c r="G574" s="3">
        <v>45188</v>
      </c>
      <c r="H574" s="4" t="s">
        <v>605</v>
      </c>
      <c r="I574" s="4" t="s">
        <v>19</v>
      </c>
      <c r="J574" s="4" t="str" cm="1">
        <f t="array" ref="J574">_xlfn.IFS(K574&lt;30,"Young Adult",K574&lt;50,"Adult",K574&gt;=50,"Senior")</f>
        <v>Adult</v>
      </c>
      <c r="K574" s="4">
        <v>49</v>
      </c>
      <c r="L574" s="4" t="s">
        <v>20</v>
      </c>
      <c r="M574" s="4">
        <v>2</v>
      </c>
      <c r="N574" s="16">
        <v>30</v>
      </c>
      <c r="O574" s="17">
        <f>M574*N574</f>
        <v>60</v>
      </c>
      <c r="P574" s="13">
        <f>$O574*$U$4</f>
        <v>0.89999999999999991</v>
      </c>
      <c r="Q574" s="13">
        <f>$O574*$U$5</f>
        <v>1.2</v>
      </c>
      <c r="R574" s="13" cm="1">
        <f t="array" ref="R574">_xlfn.IFS(B574=2023,O574*$U$4,B574=2024,O574*$U$5)</f>
        <v>0.89999999999999991</v>
      </c>
    </row>
    <row r="575" spans="1:18">
      <c r="A575" s="2">
        <v>574</v>
      </c>
      <c r="B575" s="4">
        <f t="shared" si="41"/>
        <v>2023</v>
      </c>
      <c r="C575" s="4">
        <f t="shared" si="42"/>
        <v>8</v>
      </c>
      <c r="D575" s="4">
        <f t="shared" si="43"/>
        <v>31</v>
      </c>
      <c r="E575" s="4" t="str">
        <f t="shared" si="44"/>
        <v>Thursday</v>
      </c>
      <c r="F575" s="4" t="str">
        <f t="shared" si="45"/>
        <v>August</v>
      </c>
      <c r="G575" s="3">
        <v>45169</v>
      </c>
      <c r="H575" s="4" t="s">
        <v>606</v>
      </c>
      <c r="I575" s="4" t="s">
        <v>22</v>
      </c>
      <c r="J575" s="4" t="str" cm="1">
        <f t="array" ref="J575">_xlfn.IFS(K575&lt;30,"Young Adult",K575&lt;50,"Adult",K575&gt;=50,"Senior")</f>
        <v>Senior</v>
      </c>
      <c r="K575" s="4">
        <v>63</v>
      </c>
      <c r="L575" s="4" t="s">
        <v>26</v>
      </c>
      <c r="M575" s="4">
        <v>2</v>
      </c>
      <c r="N575" s="16">
        <v>25</v>
      </c>
      <c r="O575" s="17">
        <f>M575*N575</f>
        <v>50</v>
      </c>
      <c r="P575" s="13">
        <f>$O575*$U$4</f>
        <v>0.75</v>
      </c>
      <c r="Q575" s="13">
        <f>$O575*$U$5</f>
        <v>1</v>
      </c>
      <c r="R575" s="13" cm="1">
        <f t="array" ref="R575">_xlfn.IFS(B575=2023,O575*$U$4,B575=2024,O575*$U$5)</f>
        <v>0.75</v>
      </c>
    </row>
    <row r="576" spans="1:18">
      <c r="A576" s="2">
        <v>575</v>
      </c>
      <c r="B576" s="4">
        <f t="shared" si="41"/>
        <v>2023</v>
      </c>
      <c r="C576" s="4">
        <f t="shared" si="42"/>
        <v>3</v>
      </c>
      <c r="D576" s="4">
        <f t="shared" si="43"/>
        <v>28</v>
      </c>
      <c r="E576" s="4" t="str">
        <f t="shared" si="44"/>
        <v>Tuesday</v>
      </c>
      <c r="F576" s="4" t="str">
        <f t="shared" si="45"/>
        <v>March</v>
      </c>
      <c r="G576" s="3">
        <v>45013</v>
      </c>
      <c r="H576" s="4" t="s">
        <v>607</v>
      </c>
      <c r="I576" s="4" t="s">
        <v>19</v>
      </c>
      <c r="J576" s="4" t="str" cm="1">
        <f t="array" ref="J576">_xlfn.IFS(K576&lt;30,"Young Adult",K576&lt;50,"Adult",K576&gt;=50,"Senior")</f>
        <v>Senior</v>
      </c>
      <c r="K576" s="4">
        <v>60</v>
      </c>
      <c r="L576" s="4" t="s">
        <v>23</v>
      </c>
      <c r="M576" s="4">
        <v>2</v>
      </c>
      <c r="N576" s="16">
        <v>50</v>
      </c>
      <c r="O576" s="17">
        <f>M576*N576</f>
        <v>100</v>
      </c>
      <c r="P576" s="13">
        <f>$O576*$U$4</f>
        <v>1.5</v>
      </c>
      <c r="Q576" s="13">
        <f>$O576*$U$5</f>
        <v>2</v>
      </c>
      <c r="R576" s="13" cm="1">
        <f t="array" ref="R576">_xlfn.IFS(B576=2023,O576*$U$4,B576=2024,O576*$U$5)</f>
        <v>1.5</v>
      </c>
    </row>
    <row r="577" spans="1:18">
      <c r="A577" s="2">
        <v>576</v>
      </c>
      <c r="B577" s="4">
        <f t="shared" si="41"/>
        <v>2023</v>
      </c>
      <c r="C577" s="4">
        <f t="shared" si="42"/>
        <v>12</v>
      </c>
      <c r="D577" s="4">
        <f t="shared" si="43"/>
        <v>4</v>
      </c>
      <c r="E577" s="4" t="str">
        <f t="shared" si="44"/>
        <v>Monday</v>
      </c>
      <c r="F577" s="4" t="str">
        <f t="shared" si="45"/>
        <v>December</v>
      </c>
      <c r="G577" s="3">
        <v>45264</v>
      </c>
      <c r="H577" s="4" t="s">
        <v>608</v>
      </c>
      <c r="I577" s="4" t="s">
        <v>22</v>
      </c>
      <c r="J577" s="4" t="str" cm="1">
        <f t="array" ref="J577">_xlfn.IFS(K577&lt;30,"Young Adult",K577&lt;50,"Adult",K577&gt;=50,"Senior")</f>
        <v>Adult</v>
      </c>
      <c r="K577" s="4">
        <v>33</v>
      </c>
      <c r="L577" s="4" t="s">
        <v>20</v>
      </c>
      <c r="M577" s="4">
        <v>3</v>
      </c>
      <c r="N577" s="16">
        <v>50</v>
      </c>
      <c r="O577" s="17">
        <f>M577*N577</f>
        <v>150</v>
      </c>
      <c r="P577" s="13">
        <f>$O577*$U$4</f>
        <v>2.25</v>
      </c>
      <c r="Q577" s="13">
        <f>$O577*$U$5</f>
        <v>3</v>
      </c>
      <c r="R577" s="13" cm="1">
        <f t="array" ref="R577">_xlfn.IFS(B577=2023,O577*$U$4,B577=2024,O577*$U$5)</f>
        <v>2.25</v>
      </c>
    </row>
    <row r="578" spans="1:18">
      <c r="A578" s="2">
        <v>577</v>
      </c>
      <c r="B578" s="4">
        <f t="shared" si="41"/>
        <v>2023</v>
      </c>
      <c r="C578" s="4">
        <f t="shared" si="42"/>
        <v>2</v>
      </c>
      <c r="D578" s="4">
        <f t="shared" si="43"/>
        <v>13</v>
      </c>
      <c r="E578" s="4" t="str">
        <f t="shared" si="44"/>
        <v>Monday</v>
      </c>
      <c r="F578" s="4" t="str">
        <f t="shared" si="45"/>
        <v>February</v>
      </c>
      <c r="G578" s="3">
        <v>44970</v>
      </c>
      <c r="H578" s="4" t="s">
        <v>609</v>
      </c>
      <c r="I578" s="4" t="s">
        <v>19</v>
      </c>
      <c r="J578" s="4" t="str" cm="1">
        <f t="array" ref="J578">_xlfn.IFS(K578&lt;30,"Young Adult",K578&lt;50,"Adult",K578&gt;=50,"Senior")</f>
        <v>Young Adult</v>
      </c>
      <c r="K578" s="4">
        <v>21</v>
      </c>
      <c r="L578" s="4" t="s">
        <v>20</v>
      </c>
      <c r="M578" s="4">
        <v>4</v>
      </c>
      <c r="N578" s="16">
        <v>500</v>
      </c>
      <c r="O578" s="17">
        <f>M578*N578</f>
        <v>2000</v>
      </c>
      <c r="P578" s="13">
        <f>$O578*$U$4</f>
        <v>30</v>
      </c>
      <c r="Q578" s="13">
        <f>$O578*$U$5</f>
        <v>40</v>
      </c>
      <c r="R578" s="13" cm="1">
        <f t="array" ref="R578">_xlfn.IFS(B578=2023,O578*$U$4,B578=2024,O578*$U$5)</f>
        <v>30</v>
      </c>
    </row>
    <row r="579" spans="1:18">
      <c r="A579" s="2">
        <v>578</v>
      </c>
      <c r="B579" s="4">
        <f t="shared" ref="B579:B642" si="46">YEAR(G579)</f>
        <v>2023</v>
      </c>
      <c r="C579" s="4">
        <f t="shared" ref="C579:C642" si="47">MONTH(G579)</f>
        <v>5</v>
      </c>
      <c r="D579" s="4">
        <f t="shared" ref="D579:D642" si="48">DAY(G579)</f>
        <v>26</v>
      </c>
      <c r="E579" s="4" t="str">
        <f t="shared" ref="E579:E642" si="49">TEXT(G579,"dddd")</f>
        <v>Friday</v>
      </c>
      <c r="F579" s="4" t="str">
        <f t="shared" ref="F579:F642" si="50">TEXT(G579,"mmmm")</f>
        <v>May</v>
      </c>
      <c r="G579" s="3">
        <v>45072</v>
      </c>
      <c r="H579" s="4" t="s">
        <v>610</v>
      </c>
      <c r="I579" s="4" t="s">
        <v>22</v>
      </c>
      <c r="J579" s="4" t="str" cm="1">
        <f t="array" ref="J579">_xlfn.IFS(K579&lt;30,"Young Adult",K579&lt;50,"Adult",K579&gt;=50,"Senior")</f>
        <v>Senior</v>
      </c>
      <c r="K579" s="4">
        <v>54</v>
      </c>
      <c r="L579" s="4" t="s">
        <v>23</v>
      </c>
      <c r="M579" s="4">
        <v>4</v>
      </c>
      <c r="N579" s="16">
        <v>30</v>
      </c>
      <c r="O579" s="17">
        <f>M579*N579</f>
        <v>120</v>
      </c>
      <c r="P579" s="13">
        <f>$O579*$U$4</f>
        <v>1.7999999999999998</v>
      </c>
      <c r="Q579" s="13">
        <f>$O579*$U$5</f>
        <v>2.4</v>
      </c>
      <c r="R579" s="13" cm="1">
        <f t="array" ref="R579">_xlfn.IFS(B579=2023,O579*$U$4,B579=2024,O579*$U$5)</f>
        <v>1.7999999999999998</v>
      </c>
    </row>
    <row r="580" spans="1:18">
      <c r="A580" s="2">
        <v>579</v>
      </c>
      <c r="B580" s="4">
        <f t="shared" si="46"/>
        <v>2023</v>
      </c>
      <c r="C580" s="4">
        <f t="shared" si="47"/>
        <v>9</v>
      </c>
      <c r="D580" s="4">
        <f t="shared" si="48"/>
        <v>21</v>
      </c>
      <c r="E580" s="4" t="str">
        <f t="shared" si="49"/>
        <v>Thursday</v>
      </c>
      <c r="F580" s="4" t="str">
        <f t="shared" si="50"/>
        <v>September</v>
      </c>
      <c r="G580" s="3">
        <v>45190</v>
      </c>
      <c r="H580" s="4" t="s">
        <v>611</v>
      </c>
      <c r="I580" s="4" t="s">
        <v>22</v>
      </c>
      <c r="J580" s="4" t="str" cm="1">
        <f t="array" ref="J580">_xlfn.IFS(K580&lt;30,"Young Adult",K580&lt;50,"Adult",K580&gt;=50,"Senior")</f>
        <v>Adult</v>
      </c>
      <c r="K580" s="4">
        <v>38</v>
      </c>
      <c r="L580" s="4" t="s">
        <v>26</v>
      </c>
      <c r="M580" s="4">
        <v>1</v>
      </c>
      <c r="N580" s="16">
        <v>30</v>
      </c>
      <c r="O580" s="17">
        <f>M580*N580</f>
        <v>30</v>
      </c>
      <c r="P580" s="13">
        <f>$O580*$U$4</f>
        <v>0.44999999999999996</v>
      </c>
      <c r="Q580" s="13">
        <f>$O580*$U$5</f>
        <v>0.6</v>
      </c>
      <c r="R580" s="13" cm="1">
        <f t="array" ref="R580">_xlfn.IFS(B580=2023,O580*$U$4,B580=2024,O580*$U$5)</f>
        <v>0.44999999999999996</v>
      </c>
    </row>
    <row r="581" spans="1:18">
      <c r="A581" s="2">
        <v>580</v>
      </c>
      <c r="B581" s="4">
        <f t="shared" si="46"/>
        <v>2023</v>
      </c>
      <c r="C581" s="4">
        <f t="shared" si="47"/>
        <v>12</v>
      </c>
      <c r="D581" s="4">
        <f t="shared" si="48"/>
        <v>6</v>
      </c>
      <c r="E581" s="4" t="str">
        <f t="shared" si="49"/>
        <v>Wednesday</v>
      </c>
      <c r="F581" s="4" t="str">
        <f t="shared" si="50"/>
        <v>December</v>
      </c>
      <c r="G581" s="3">
        <v>45266</v>
      </c>
      <c r="H581" s="4" t="s">
        <v>612</v>
      </c>
      <c r="I581" s="4" t="s">
        <v>22</v>
      </c>
      <c r="J581" s="4" t="str" cm="1">
        <f t="array" ref="J581">_xlfn.IFS(K581&lt;30,"Young Adult",K581&lt;50,"Adult",K581&gt;=50,"Senior")</f>
        <v>Adult</v>
      </c>
      <c r="K581" s="4">
        <v>31</v>
      </c>
      <c r="L581" s="4" t="s">
        <v>23</v>
      </c>
      <c r="M581" s="4">
        <v>3</v>
      </c>
      <c r="N581" s="16">
        <v>500</v>
      </c>
      <c r="O581" s="17">
        <f>M581*N581</f>
        <v>1500</v>
      </c>
      <c r="P581" s="13">
        <f>$O581*$U$4</f>
        <v>22.5</v>
      </c>
      <c r="Q581" s="13">
        <f>$O581*$U$5</f>
        <v>30</v>
      </c>
      <c r="R581" s="13" cm="1">
        <f t="array" ref="R581">_xlfn.IFS(B581=2023,O581*$U$4,B581=2024,O581*$U$5)</f>
        <v>22.5</v>
      </c>
    </row>
    <row r="582" spans="1:18">
      <c r="A582" s="2">
        <v>581</v>
      </c>
      <c r="B582" s="4">
        <f t="shared" si="46"/>
        <v>2023</v>
      </c>
      <c r="C582" s="4">
        <f t="shared" si="47"/>
        <v>11</v>
      </c>
      <c r="D582" s="4">
        <f t="shared" si="48"/>
        <v>21</v>
      </c>
      <c r="E582" s="4" t="str">
        <f t="shared" si="49"/>
        <v>Tuesday</v>
      </c>
      <c r="F582" s="4" t="str">
        <f t="shared" si="50"/>
        <v>November</v>
      </c>
      <c r="G582" s="3">
        <v>45251</v>
      </c>
      <c r="H582" s="4" t="s">
        <v>613</v>
      </c>
      <c r="I582" s="4" t="s">
        <v>22</v>
      </c>
      <c r="J582" s="4" t="str" cm="1">
        <f t="array" ref="J582">_xlfn.IFS(K582&lt;30,"Young Adult",K582&lt;50,"Adult",K582&gt;=50,"Senior")</f>
        <v>Adult</v>
      </c>
      <c r="K582" s="4">
        <v>48</v>
      </c>
      <c r="L582" s="4" t="s">
        <v>20</v>
      </c>
      <c r="M582" s="4">
        <v>2</v>
      </c>
      <c r="N582" s="16">
        <v>30</v>
      </c>
      <c r="O582" s="17">
        <f>M582*N582</f>
        <v>60</v>
      </c>
      <c r="P582" s="13">
        <f>$O582*$U$4</f>
        <v>0.89999999999999991</v>
      </c>
      <c r="Q582" s="13">
        <f>$O582*$U$5</f>
        <v>1.2</v>
      </c>
      <c r="R582" s="13" cm="1">
        <f t="array" ref="R582">_xlfn.IFS(B582=2023,O582*$U$4,B582=2024,O582*$U$5)</f>
        <v>0.89999999999999991</v>
      </c>
    </row>
    <row r="583" spans="1:18">
      <c r="A583" s="2">
        <v>582</v>
      </c>
      <c r="B583" s="4">
        <f t="shared" si="46"/>
        <v>2023</v>
      </c>
      <c r="C583" s="4">
        <f t="shared" si="47"/>
        <v>11</v>
      </c>
      <c r="D583" s="4">
        <f t="shared" si="48"/>
        <v>14</v>
      </c>
      <c r="E583" s="4" t="str">
        <f t="shared" si="49"/>
        <v>Tuesday</v>
      </c>
      <c r="F583" s="4" t="str">
        <f t="shared" si="50"/>
        <v>November</v>
      </c>
      <c r="G583" s="3">
        <v>45244</v>
      </c>
      <c r="H583" s="4" t="s">
        <v>614</v>
      </c>
      <c r="I583" s="4" t="s">
        <v>19</v>
      </c>
      <c r="J583" s="4" t="str" cm="1">
        <f t="array" ref="J583">_xlfn.IFS(K583&lt;30,"Young Adult",K583&lt;50,"Adult",K583&gt;=50,"Senior")</f>
        <v>Adult</v>
      </c>
      <c r="K583" s="4">
        <v>35</v>
      </c>
      <c r="L583" s="4" t="s">
        <v>23</v>
      </c>
      <c r="M583" s="4">
        <v>3</v>
      </c>
      <c r="N583" s="16">
        <v>300</v>
      </c>
      <c r="O583" s="17">
        <f>M583*N583</f>
        <v>900</v>
      </c>
      <c r="P583" s="13">
        <f>$O583*$U$4</f>
        <v>13.5</v>
      </c>
      <c r="Q583" s="13">
        <f>$O583*$U$5</f>
        <v>18</v>
      </c>
      <c r="R583" s="13" cm="1">
        <f t="array" ref="R583">_xlfn.IFS(B583=2023,O583*$U$4,B583=2024,O583*$U$5)</f>
        <v>13.5</v>
      </c>
    </row>
    <row r="584" spans="1:18">
      <c r="A584" s="2">
        <v>583</v>
      </c>
      <c r="B584" s="4">
        <f t="shared" si="46"/>
        <v>2023</v>
      </c>
      <c r="C584" s="4">
        <f t="shared" si="47"/>
        <v>6</v>
      </c>
      <c r="D584" s="4">
        <f t="shared" si="48"/>
        <v>21</v>
      </c>
      <c r="E584" s="4" t="str">
        <f t="shared" si="49"/>
        <v>Wednesday</v>
      </c>
      <c r="F584" s="4" t="str">
        <f t="shared" si="50"/>
        <v>June</v>
      </c>
      <c r="G584" s="3">
        <v>45098</v>
      </c>
      <c r="H584" s="4" t="s">
        <v>615</v>
      </c>
      <c r="I584" s="4" t="s">
        <v>22</v>
      </c>
      <c r="J584" s="4" t="str" cm="1">
        <f t="array" ref="J584">_xlfn.IFS(K584&lt;30,"Young Adult",K584&lt;50,"Adult",K584&gt;=50,"Senior")</f>
        <v>Young Adult</v>
      </c>
      <c r="K584" s="4">
        <v>24</v>
      </c>
      <c r="L584" s="4" t="s">
        <v>26</v>
      </c>
      <c r="M584" s="4">
        <v>4</v>
      </c>
      <c r="N584" s="16">
        <v>25</v>
      </c>
      <c r="O584" s="17">
        <f>M584*N584</f>
        <v>100</v>
      </c>
      <c r="P584" s="13">
        <f>$O584*$U$4</f>
        <v>1.5</v>
      </c>
      <c r="Q584" s="13">
        <f>$O584*$U$5</f>
        <v>2</v>
      </c>
      <c r="R584" s="13" cm="1">
        <f t="array" ref="R584">_xlfn.IFS(B584=2023,O584*$U$4,B584=2024,O584*$U$5)</f>
        <v>1.5</v>
      </c>
    </row>
    <row r="585" spans="1:18">
      <c r="A585" s="2">
        <v>584</v>
      </c>
      <c r="B585" s="4">
        <f t="shared" si="46"/>
        <v>2023</v>
      </c>
      <c r="C585" s="4">
        <f t="shared" si="47"/>
        <v>2</v>
      </c>
      <c r="D585" s="4">
        <f t="shared" si="48"/>
        <v>17</v>
      </c>
      <c r="E585" s="4" t="str">
        <f t="shared" si="49"/>
        <v>Friday</v>
      </c>
      <c r="F585" s="4" t="str">
        <f t="shared" si="50"/>
        <v>February</v>
      </c>
      <c r="G585" s="3">
        <v>44974</v>
      </c>
      <c r="H585" s="4" t="s">
        <v>616</v>
      </c>
      <c r="I585" s="4" t="s">
        <v>22</v>
      </c>
      <c r="J585" s="4" t="str" cm="1">
        <f t="array" ref="J585">_xlfn.IFS(K585&lt;30,"Young Adult",K585&lt;50,"Adult",K585&gt;=50,"Senior")</f>
        <v>Young Adult</v>
      </c>
      <c r="K585" s="4">
        <v>27</v>
      </c>
      <c r="L585" s="4" t="s">
        <v>20</v>
      </c>
      <c r="M585" s="4">
        <v>4</v>
      </c>
      <c r="N585" s="16">
        <v>50</v>
      </c>
      <c r="O585" s="17">
        <f>M585*N585</f>
        <v>200</v>
      </c>
      <c r="P585" s="13">
        <f>$O585*$U$4</f>
        <v>3</v>
      </c>
      <c r="Q585" s="13">
        <f>$O585*$U$5</f>
        <v>4</v>
      </c>
      <c r="R585" s="13" cm="1">
        <f t="array" ref="R585">_xlfn.IFS(B585=2023,O585*$U$4,B585=2024,O585*$U$5)</f>
        <v>3</v>
      </c>
    </row>
    <row r="586" spans="1:18">
      <c r="A586" s="2">
        <v>585</v>
      </c>
      <c r="B586" s="4">
        <f t="shared" si="46"/>
        <v>2023</v>
      </c>
      <c r="C586" s="4">
        <f t="shared" si="47"/>
        <v>5</v>
      </c>
      <c r="D586" s="4">
        <f t="shared" si="48"/>
        <v>1</v>
      </c>
      <c r="E586" s="4" t="str">
        <f t="shared" si="49"/>
        <v>Monday</v>
      </c>
      <c r="F586" s="4" t="str">
        <f t="shared" si="50"/>
        <v>May</v>
      </c>
      <c r="G586" s="3">
        <v>45047</v>
      </c>
      <c r="H586" s="4" t="s">
        <v>617</v>
      </c>
      <c r="I586" s="4" t="s">
        <v>22</v>
      </c>
      <c r="J586" s="4" t="str" cm="1">
        <f t="array" ref="J586">_xlfn.IFS(K586&lt;30,"Young Adult",K586&lt;50,"Adult",K586&gt;=50,"Senior")</f>
        <v>Young Adult</v>
      </c>
      <c r="K586" s="4">
        <v>24</v>
      </c>
      <c r="L586" s="4" t="s">
        <v>23</v>
      </c>
      <c r="M586" s="4">
        <v>1</v>
      </c>
      <c r="N586" s="16">
        <v>25</v>
      </c>
      <c r="O586" s="17">
        <f>M586*N586</f>
        <v>25</v>
      </c>
      <c r="P586" s="13">
        <f>$O586*$U$4</f>
        <v>0.375</v>
      </c>
      <c r="Q586" s="13">
        <f>$O586*$U$5</f>
        <v>0.5</v>
      </c>
      <c r="R586" s="13" cm="1">
        <f t="array" ref="R586">_xlfn.IFS(B586=2023,O586*$U$4,B586=2024,O586*$U$5)</f>
        <v>0.375</v>
      </c>
    </row>
    <row r="587" spans="1:18">
      <c r="A587" s="2">
        <v>586</v>
      </c>
      <c r="B587" s="4">
        <f t="shared" si="46"/>
        <v>2023</v>
      </c>
      <c r="C587" s="4">
        <f t="shared" si="47"/>
        <v>12</v>
      </c>
      <c r="D587" s="4">
        <f t="shared" si="48"/>
        <v>11</v>
      </c>
      <c r="E587" s="4" t="str">
        <f t="shared" si="49"/>
        <v>Monday</v>
      </c>
      <c r="F587" s="4" t="str">
        <f t="shared" si="50"/>
        <v>December</v>
      </c>
      <c r="G587" s="3">
        <v>45271</v>
      </c>
      <c r="H587" s="4" t="s">
        <v>618</v>
      </c>
      <c r="I587" s="4" t="s">
        <v>19</v>
      </c>
      <c r="J587" s="4" t="str" cm="1">
        <f t="array" ref="J587">_xlfn.IFS(K587&lt;30,"Young Adult",K587&lt;50,"Adult",K587&gt;=50,"Senior")</f>
        <v>Senior</v>
      </c>
      <c r="K587" s="4">
        <v>50</v>
      </c>
      <c r="L587" s="4" t="s">
        <v>26</v>
      </c>
      <c r="M587" s="4">
        <v>1</v>
      </c>
      <c r="N587" s="16">
        <v>50</v>
      </c>
      <c r="O587" s="17">
        <f>M587*N587</f>
        <v>50</v>
      </c>
      <c r="P587" s="13">
        <f>$O587*$U$4</f>
        <v>0.75</v>
      </c>
      <c r="Q587" s="13">
        <f>$O587*$U$5</f>
        <v>1</v>
      </c>
      <c r="R587" s="13" cm="1">
        <f t="array" ref="R587">_xlfn.IFS(B587=2023,O587*$U$4,B587=2024,O587*$U$5)</f>
        <v>0.75</v>
      </c>
    </row>
    <row r="588" spans="1:18">
      <c r="A588" s="2">
        <v>587</v>
      </c>
      <c r="B588" s="4">
        <f t="shared" si="46"/>
        <v>2023</v>
      </c>
      <c r="C588" s="4">
        <f t="shared" si="47"/>
        <v>6</v>
      </c>
      <c r="D588" s="4">
        <f t="shared" si="48"/>
        <v>8</v>
      </c>
      <c r="E588" s="4" t="str">
        <f t="shared" si="49"/>
        <v>Thursday</v>
      </c>
      <c r="F588" s="4" t="str">
        <f t="shared" si="50"/>
        <v>June</v>
      </c>
      <c r="G588" s="3">
        <v>45085</v>
      </c>
      <c r="H588" s="4" t="s">
        <v>619</v>
      </c>
      <c r="I588" s="4" t="s">
        <v>22</v>
      </c>
      <c r="J588" s="4" t="str" cm="1">
        <f t="array" ref="J588">_xlfn.IFS(K588&lt;30,"Young Adult",K588&lt;50,"Adult",K588&gt;=50,"Senior")</f>
        <v>Adult</v>
      </c>
      <c r="K588" s="4">
        <v>40</v>
      </c>
      <c r="L588" s="4" t="s">
        <v>20</v>
      </c>
      <c r="M588" s="4">
        <v>4</v>
      </c>
      <c r="N588" s="16">
        <v>300</v>
      </c>
      <c r="O588" s="17">
        <f>M588*N588</f>
        <v>1200</v>
      </c>
      <c r="P588" s="13">
        <f>$O588*$U$4</f>
        <v>18</v>
      </c>
      <c r="Q588" s="13">
        <f>$O588*$U$5</f>
        <v>24</v>
      </c>
      <c r="R588" s="13" cm="1">
        <f t="array" ref="R588">_xlfn.IFS(B588=2023,O588*$U$4,B588=2024,O588*$U$5)</f>
        <v>18</v>
      </c>
    </row>
    <row r="589" spans="1:18">
      <c r="A589" s="2">
        <v>588</v>
      </c>
      <c r="B589" s="4">
        <f t="shared" si="46"/>
        <v>2023</v>
      </c>
      <c r="C589" s="4">
        <f t="shared" si="47"/>
        <v>4</v>
      </c>
      <c r="D589" s="4">
        <f t="shared" si="48"/>
        <v>26</v>
      </c>
      <c r="E589" s="4" t="str">
        <f t="shared" si="49"/>
        <v>Wednesday</v>
      </c>
      <c r="F589" s="4" t="str">
        <f t="shared" si="50"/>
        <v>April</v>
      </c>
      <c r="G589" s="3">
        <v>45042</v>
      </c>
      <c r="H589" s="4" t="s">
        <v>620</v>
      </c>
      <c r="I589" s="4" t="s">
        <v>19</v>
      </c>
      <c r="J589" s="4" t="str" cm="1">
        <f t="array" ref="J589">_xlfn.IFS(K589&lt;30,"Young Adult",K589&lt;50,"Adult",K589&gt;=50,"Senior")</f>
        <v>Adult</v>
      </c>
      <c r="K589" s="4">
        <v>38</v>
      </c>
      <c r="L589" s="4" t="s">
        <v>26</v>
      </c>
      <c r="M589" s="4">
        <v>2</v>
      </c>
      <c r="N589" s="16">
        <v>30</v>
      </c>
      <c r="O589" s="17">
        <f>M589*N589</f>
        <v>60</v>
      </c>
      <c r="P589" s="13">
        <f>$O589*$U$4</f>
        <v>0.89999999999999991</v>
      </c>
      <c r="Q589" s="13">
        <f>$O589*$U$5</f>
        <v>1.2</v>
      </c>
      <c r="R589" s="13" cm="1">
        <f t="array" ref="R589">_xlfn.IFS(B589=2023,O589*$U$4,B589=2024,O589*$U$5)</f>
        <v>0.89999999999999991</v>
      </c>
    </row>
    <row r="590" spans="1:18">
      <c r="A590" s="2">
        <v>589</v>
      </c>
      <c r="B590" s="4">
        <f t="shared" si="46"/>
        <v>2023</v>
      </c>
      <c r="C590" s="4">
        <f t="shared" si="47"/>
        <v>4</v>
      </c>
      <c r="D590" s="4">
        <f t="shared" si="48"/>
        <v>12</v>
      </c>
      <c r="E590" s="4" t="str">
        <f t="shared" si="49"/>
        <v>Wednesday</v>
      </c>
      <c r="F590" s="4" t="str">
        <f t="shared" si="50"/>
        <v>April</v>
      </c>
      <c r="G590" s="3">
        <v>45028</v>
      </c>
      <c r="H590" s="4" t="s">
        <v>621</v>
      </c>
      <c r="I590" s="4" t="s">
        <v>22</v>
      </c>
      <c r="J590" s="4" t="str" cm="1">
        <f t="array" ref="J590">_xlfn.IFS(K590&lt;30,"Young Adult",K590&lt;50,"Adult",K590&gt;=50,"Senior")</f>
        <v>Adult</v>
      </c>
      <c r="K590" s="4">
        <v>36</v>
      </c>
      <c r="L590" s="4" t="s">
        <v>20</v>
      </c>
      <c r="M590" s="4">
        <v>2</v>
      </c>
      <c r="N590" s="16">
        <v>500</v>
      </c>
      <c r="O590" s="17">
        <f>M590*N590</f>
        <v>1000</v>
      </c>
      <c r="P590" s="13">
        <f>$O590*$U$4</f>
        <v>15</v>
      </c>
      <c r="Q590" s="13">
        <f>$O590*$U$5</f>
        <v>20</v>
      </c>
      <c r="R590" s="13" cm="1">
        <f t="array" ref="R590">_xlfn.IFS(B590=2023,O590*$U$4,B590=2024,O590*$U$5)</f>
        <v>15</v>
      </c>
    </row>
    <row r="591" spans="1:18">
      <c r="A591" s="2">
        <v>590</v>
      </c>
      <c r="B591" s="4">
        <f t="shared" si="46"/>
        <v>2023</v>
      </c>
      <c r="C591" s="4">
        <f t="shared" si="47"/>
        <v>3</v>
      </c>
      <c r="D591" s="4">
        <f t="shared" si="48"/>
        <v>17</v>
      </c>
      <c r="E591" s="4" t="str">
        <f t="shared" si="49"/>
        <v>Friday</v>
      </c>
      <c r="F591" s="4" t="str">
        <f t="shared" si="50"/>
        <v>March</v>
      </c>
      <c r="G591" s="3">
        <v>45002</v>
      </c>
      <c r="H591" s="4" t="s">
        <v>622</v>
      </c>
      <c r="I591" s="4" t="s">
        <v>19</v>
      </c>
      <c r="J591" s="4" t="str" cm="1">
        <f t="array" ref="J591">_xlfn.IFS(K591&lt;30,"Young Adult",K591&lt;50,"Adult",K591&gt;=50,"Senior")</f>
        <v>Adult</v>
      </c>
      <c r="K591" s="4">
        <v>36</v>
      </c>
      <c r="L591" s="4" t="s">
        <v>23</v>
      </c>
      <c r="M591" s="4">
        <v>3</v>
      </c>
      <c r="N591" s="16">
        <v>300</v>
      </c>
      <c r="O591" s="17">
        <f>M591*N591</f>
        <v>900</v>
      </c>
      <c r="P591" s="13">
        <f>$O591*$U$4</f>
        <v>13.5</v>
      </c>
      <c r="Q591" s="13">
        <f>$O591*$U$5</f>
        <v>18</v>
      </c>
      <c r="R591" s="13" cm="1">
        <f t="array" ref="R591">_xlfn.IFS(B591=2023,O591*$U$4,B591=2024,O591*$U$5)</f>
        <v>13.5</v>
      </c>
    </row>
    <row r="592" spans="1:18">
      <c r="A592" s="2">
        <v>591</v>
      </c>
      <c r="B592" s="4">
        <f t="shared" si="46"/>
        <v>2023</v>
      </c>
      <c r="C592" s="4">
        <f t="shared" si="47"/>
        <v>1</v>
      </c>
      <c r="D592" s="4">
        <f t="shared" si="48"/>
        <v>13</v>
      </c>
      <c r="E592" s="4" t="str">
        <f t="shared" si="49"/>
        <v>Friday</v>
      </c>
      <c r="F592" s="4" t="str">
        <f t="shared" si="50"/>
        <v>January</v>
      </c>
      <c r="G592" s="3">
        <v>44939</v>
      </c>
      <c r="H592" s="4" t="s">
        <v>623</v>
      </c>
      <c r="I592" s="4" t="s">
        <v>19</v>
      </c>
      <c r="J592" s="4" t="str" cm="1">
        <f t="array" ref="J592">_xlfn.IFS(K592&lt;30,"Young Adult",K592&lt;50,"Adult",K592&gt;=50,"Senior")</f>
        <v>Senior</v>
      </c>
      <c r="K592" s="4">
        <v>53</v>
      </c>
      <c r="L592" s="4" t="s">
        <v>26</v>
      </c>
      <c r="M592" s="4">
        <v>4</v>
      </c>
      <c r="N592" s="16">
        <v>25</v>
      </c>
      <c r="O592" s="17">
        <f>M592*N592</f>
        <v>100</v>
      </c>
      <c r="P592" s="13">
        <f>$O592*$U$4</f>
        <v>1.5</v>
      </c>
      <c r="Q592" s="13">
        <f>$O592*$U$5</f>
        <v>2</v>
      </c>
      <c r="R592" s="13" cm="1">
        <f t="array" ref="R592">_xlfn.IFS(B592=2023,O592*$U$4,B592=2024,O592*$U$5)</f>
        <v>1.5</v>
      </c>
    </row>
    <row r="593" spans="1:18">
      <c r="A593" s="2">
        <v>592</v>
      </c>
      <c r="B593" s="4">
        <f t="shared" si="46"/>
        <v>2023</v>
      </c>
      <c r="C593" s="4">
        <f t="shared" si="47"/>
        <v>1</v>
      </c>
      <c r="D593" s="4">
        <f t="shared" si="48"/>
        <v>24</v>
      </c>
      <c r="E593" s="4" t="str">
        <f t="shared" si="49"/>
        <v>Tuesday</v>
      </c>
      <c r="F593" s="4" t="str">
        <f t="shared" si="50"/>
        <v>January</v>
      </c>
      <c r="G593" s="3">
        <v>44950</v>
      </c>
      <c r="H593" s="4" t="s">
        <v>624</v>
      </c>
      <c r="I593" s="4" t="s">
        <v>22</v>
      </c>
      <c r="J593" s="4" t="str" cm="1">
        <f t="array" ref="J593">_xlfn.IFS(K593&lt;30,"Young Adult",K593&lt;50,"Adult",K593&gt;=50,"Senior")</f>
        <v>Adult</v>
      </c>
      <c r="K593" s="4">
        <v>46</v>
      </c>
      <c r="L593" s="4" t="s">
        <v>20</v>
      </c>
      <c r="M593" s="4">
        <v>4</v>
      </c>
      <c r="N593" s="16">
        <v>500</v>
      </c>
      <c r="O593" s="17">
        <f>M593*N593</f>
        <v>2000</v>
      </c>
      <c r="P593" s="13">
        <f>$O593*$U$4</f>
        <v>30</v>
      </c>
      <c r="Q593" s="13">
        <f>$O593*$U$5</f>
        <v>40</v>
      </c>
      <c r="R593" s="13" cm="1">
        <f t="array" ref="R593">_xlfn.IFS(B593=2023,O593*$U$4,B593=2024,O593*$U$5)</f>
        <v>30</v>
      </c>
    </row>
    <row r="594" spans="1:18">
      <c r="A594" s="2">
        <v>593</v>
      </c>
      <c r="B594" s="4">
        <f t="shared" si="46"/>
        <v>2023</v>
      </c>
      <c r="C594" s="4">
        <f t="shared" si="47"/>
        <v>5</v>
      </c>
      <c r="D594" s="4">
        <f t="shared" si="48"/>
        <v>6</v>
      </c>
      <c r="E594" s="4" t="str">
        <f t="shared" si="49"/>
        <v>Saturday</v>
      </c>
      <c r="F594" s="4" t="str">
        <f t="shared" si="50"/>
        <v>May</v>
      </c>
      <c r="G594" s="3">
        <v>45052</v>
      </c>
      <c r="H594" s="4" t="s">
        <v>625</v>
      </c>
      <c r="I594" s="4" t="s">
        <v>19</v>
      </c>
      <c r="J594" s="4" t="str" cm="1">
        <f t="array" ref="J594">_xlfn.IFS(K594&lt;30,"Young Adult",K594&lt;50,"Adult",K594&gt;=50,"Senior")</f>
        <v>Adult</v>
      </c>
      <c r="K594" s="4">
        <v>35</v>
      </c>
      <c r="L594" s="4" t="s">
        <v>26</v>
      </c>
      <c r="M594" s="4">
        <v>2</v>
      </c>
      <c r="N594" s="16">
        <v>30</v>
      </c>
      <c r="O594" s="17">
        <f>M594*N594</f>
        <v>60</v>
      </c>
      <c r="P594" s="13">
        <f>$O594*$U$4</f>
        <v>0.89999999999999991</v>
      </c>
      <c r="Q594" s="13">
        <f>$O594*$U$5</f>
        <v>1.2</v>
      </c>
      <c r="R594" s="13" cm="1">
        <f t="array" ref="R594">_xlfn.IFS(B594=2023,O594*$U$4,B594=2024,O594*$U$5)</f>
        <v>0.89999999999999991</v>
      </c>
    </row>
    <row r="595" spans="1:18">
      <c r="A595" s="2">
        <v>594</v>
      </c>
      <c r="B595" s="4">
        <f t="shared" si="46"/>
        <v>2023</v>
      </c>
      <c r="C595" s="4">
        <f t="shared" si="47"/>
        <v>9</v>
      </c>
      <c r="D595" s="4">
        <f t="shared" si="48"/>
        <v>1</v>
      </c>
      <c r="E595" s="4" t="str">
        <f t="shared" si="49"/>
        <v>Friday</v>
      </c>
      <c r="F595" s="4" t="str">
        <f t="shared" si="50"/>
        <v>September</v>
      </c>
      <c r="G595" s="3">
        <v>45170</v>
      </c>
      <c r="H595" s="4" t="s">
        <v>626</v>
      </c>
      <c r="I595" s="4" t="s">
        <v>22</v>
      </c>
      <c r="J595" s="4" t="str" cm="1">
        <f t="array" ref="J595">_xlfn.IFS(K595&lt;30,"Young Adult",K595&lt;50,"Adult",K595&gt;=50,"Senior")</f>
        <v>Young Adult</v>
      </c>
      <c r="K595" s="4">
        <v>19</v>
      </c>
      <c r="L595" s="4" t="s">
        <v>26</v>
      </c>
      <c r="M595" s="4">
        <v>2</v>
      </c>
      <c r="N595" s="16">
        <v>300</v>
      </c>
      <c r="O595" s="17">
        <f>M595*N595</f>
        <v>600</v>
      </c>
      <c r="P595" s="13">
        <f>$O595*$U$4</f>
        <v>9</v>
      </c>
      <c r="Q595" s="13">
        <f>$O595*$U$5</f>
        <v>12</v>
      </c>
      <c r="R595" s="13" cm="1">
        <f t="array" ref="R595">_xlfn.IFS(B595=2023,O595*$U$4,B595=2024,O595*$U$5)</f>
        <v>9</v>
      </c>
    </row>
    <row r="596" spans="1:18">
      <c r="A596" s="2">
        <v>595</v>
      </c>
      <c r="B596" s="4">
        <f t="shared" si="46"/>
        <v>2023</v>
      </c>
      <c r="C596" s="4">
        <f t="shared" si="47"/>
        <v>11</v>
      </c>
      <c r="D596" s="4">
        <f t="shared" si="48"/>
        <v>9</v>
      </c>
      <c r="E596" s="4" t="str">
        <f t="shared" si="49"/>
        <v>Thursday</v>
      </c>
      <c r="F596" s="4" t="str">
        <f t="shared" si="50"/>
        <v>November</v>
      </c>
      <c r="G596" s="3">
        <v>45239</v>
      </c>
      <c r="H596" s="4" t="s">
        <v>627</v>
      </c>
      <c r="I596" s="4" t="s">
        <v>22</v>
      </c>
      <c r="J596" s="4" t="str" cm="1">
        <f t="array" ref="J596">_xlfn.IFS(K596&lt;30,"Young Adult",K596&lt;50,"Adult",K596&gt;=50,"Senior")</f>
        <v>Young Adult</v>
      </c>
      <c r="K596" s="4">
        <v>18</v>
      </c>
      <c r="L596" s="4" t="s">
        <v>23</v>
      </c>
      <c r="M596" s="4">
        <v>4</v>
      </c>
      <c r="N596" s="16">
        <v>500</v>
      </c>
      <c r="O596" s="17">
        <f>M596*N596</f>
        <v>2000</v>
      </c>
      <c r="P596" s="13">
        <f>$O596*$U$4</f>
        <v>30</v>
      </c>
      <c r="Q596" s="13">
        <f>$O596*$U$5</f>
        <v>40</v>
      </c>
      <c r="R596" s="13" cm="1">
        <f t="array" ref="R596">_xlfn.IFS(B596=2023,O596*$U$4,B596=2024,O596*$U$5)</f>
        <v>30</v>
      </c>
    </row>
    <row r="597" spans="1:18">
      <c r="A597" s="2">
        <v>596</v>
      </c>
      <c r="B597" s="4">
        <f t="shared" si="46"/>
        <v>2023</v>
      </c>
      <c r="C597" s="4">
        <f t="shared" si="47"/>
        <v>2</v>
      </c>
      <c r="D597" s="4">
        <f t="shared" si="48"/>
        <v>7</v>
      </c>
      <c r="E597" s="4" t="str">
        <f t="shared" si="49"/>
        <v>Tuesday</v>
      </c>
      <c r="F597" s="4" t="str">
        <f t="shared" si="50"/>
        <v>February</v>
      </c>
      <c r="G597" s="3">
        <v>44964</v>
      </c>
      <c r="H597" s="4" t="s">
        <v>628</v>
      </c>
      <c r="I597" s="4" t="s">
        <v>22</v>
      </c>
      <c r="J597" s="4" t="str" cm="1">
        <f t="array" ref="J597">_xlfn.IFS(K597&lt;30,"Young Adult",K597&lt;50,"Adult",K597&gt;=50,"Senior")</f>
        <v>Senior</v>
      </c>
      <c r="K597" s="4">
        <v>64</v>
      </c>
      <c r="L597" s="4" t="s">
        <v>26</v>
      </c>
      <c r="M597" s="4">
        <v>1</v>
      </c>
      <c r="N597" s="16">
        <v>300</v>
      </c>
      <c r="O597" s="17">
        <f>M597*N597</f>
        <v>300</v>
      </c>
      <c r="P597" s="13">
        <f>$O597*$U$4</f>
        <v>4.5</v>
      </c>
      <c r="Q597" s="13">
        <f>$O597*$U$5</f>
        <v>6</v>
      </c>
      <c r="R597" s="13" cm="1">
        <f t="array" ref="R597">_xlfn.IFS(B597=2023,O597*$U$4,B597=2024,O597*$U$5)</f>
        <v>4.5</v>
      </c>
    </row>
    <row r="598" spans="1:18">
      <c r="A598" s="2">
        <v>597</v>
      </c>
      <c r="B598" s="4">
        <f t="shared" si="46"/>
        <v>2023</v>
      </c>
      <c r="C598" s="4">
        <f t="shared" si="47"/>
        <v>8</v>
      </c>
      <c r="D598" s="4">
        <f t="shared" si="48"/>
        <v>22</v>
      </c>
      <c r="E598" s="4" t="str">
        <f t="shared" si="49"/>
        <v>Tuesday</v>
      </c>
      <c r="F598" s="4" t="str">
        <f t="shared" si="50"/>
        <v>August</v>
      </c>
      <c r="G598" s="3">
        <v>45160</v>
      </c>
      <c r="H598" s="4" t="s">
        <v>629</v>
      </c>
      <c r="I598" s="4" t="s">
        <v>19</v>
      </c>
      <c r="J598" s="4" t="str" cm="1">
        <f t="array" ref="J598">_xlfn.IFS(K598&lt;30,"Young Adult",K598&lt;50,"Adult",K598&gt;=50,"Senior")</f>
        <v>Young Adult</v>
      </c>
      <c r="K598" s="4">
        <v>22</v>
      </c>
      <c r="L598" s="4" t="s">
        <v>20</v>
      </c>
      <c r="M598" s="4">
        <v>4</v>
      </c>
      <c r="N598" s="16">
        <v>300</v>
      </c>
      <c r="O598" s="17">
        <f>M598*N598</f>
        <v>1200</v>
      </c>
      <c r="P598" s="13">
        <f>$O598*$U$4</f>
        <v>18</v>
      </c>
      <c r="Q598" s="13">
        <f>$O598*$U$5</f>
        <v>24</v>
      </c>
      <c r="R598" s="13" cm="1">
        <f t="array" ref="R598">_xlfn.IFS(B598=2023,O598*$U$4,B598=2024,O598*$U$5)</f>
        <v>18</v>
      </c>
    </row>
    <row r="599" spans="1:18">
      <c r="A599" s="2">
        <v>598</v>
      </c>
      <c r="B599" s="4">
        <f t="shared" si="46"/>
        <v>2023</v>
      </c>
      <c r="C599" s="4">
        <f t="shared" si="47"/>
        <v>8</v>
      </c>
      <c r="D599" s="4">
        <f t="shared" si="48"/>
        <v>1</v>
      </c>
      <c r="E599" s="4" t="str">
        <f t="shared" si="49"/>
        <v>Tuesday</v>
      </c>
      <c r="F599" s="4" t="str">
        <f t="shared" si="50"/>
        <v>August</v>
      </c>
      <c r="G599" s="3">
        <v>45139</v>
      </c>
      <c r="H599" s="4" t="s">
        <v>630</v>
      </c>
      <c r="I599" s="4" t="s">
        <v>19</v>
      </c>
      <c r="J599" s="4" t="str" cm="1">
        <f t="array" ref="J599">_xlfn.IFS(K599&lt;30,"Young Adult",K599&lt;50,"Adult",K599&gt;=50,"Senior")</f>
        <v>Adult</v>
      </c>
      <c r="K599" s="4">
        <v>37</v>
      </c>
      <c r="L599" s="4" t="s">
        <v>20</v>
      </c>
      <c r="M599" s="4">
        <v>4</v>
      </c>
      <c r="N599" s="16">
        <v>30</v>
      </c>
      <c r="O599" s="17">
        <f>M599*N599</f>
        <v>120</v>
      </c>
      <c r="P599" s="13">
        <f>$O599*$U$4</f>
        <v>1.7999999999999998</v>
      </c>
      <c r="Q599" s="13">
        <f>$O599*$U$5</f>
        <v>2.4</v>
      </c>
      <c r="R599" s="13" cm="1">
        <f t="array" ref="R599">_xlfn.IFS(B599=2023,O599*$U$4,B599=2024,O599*$U$5)</f>
        <v>1.7999999999999998</v>
      </c>
    </row>
    <row r="600" spans="1:18">
      <c r="A600" s="2">
        <v>599</v>
      </c>
      <c r="B600" s="4">
        <f t="shared" si="46"/>
        <v>2023</v>
      </c>
      <c r="C600" s="4">
        <f t="shared" si="47"/>
        <v>11</v>
      </c>
      <c r="D600" s="4">
        <f t="shared" si="48"/>
        <v>19</v>
      </c>
      <c r="E600" s="4" t="str">
        <f t="shared" si="49"/>
        <v>Sunday</v>
      </c>
      <c r="F600" s="4" t="str">
        <f t="shared" si="50"/>
        <v>November</v>
      </c>
      <c r="G600" s="3">
        <v>45249</v>
      </c>
      <c r="H600" s="4" t="s">
        <v>631</v>
      </c>
      <c r="I600" s="4" t="s">
        <v>22</v>
      </c>
      <c r="J600" s="4" t="str" cm="1">
        <f t="array" ref="J600">_xlfn.IFS(K600&lt;30,"Young Adult",K600&lt;50,"Adult",K600&gt;=50,"Senior")</f>
        <v>Young Adult</v>
      </c>
      <c r="K600" s="4">
        <v>28</v>
      </c>
      <c r="L600" s="4" t="s">
        <v>20</v>
      </c>
      <c r="M600" s="4">
        <v>2</v>
      </c>
      <c r="N600" s="16">
        <v>50</v>
      </c>
      <c r="O600" s="17">
        <f>M600*N600</f>
        <v>100</v>
      </c>
      <c r="P600" s="13">
        <f>$O600*$U$4</f>
        <v>1.5</v>
      </c>
      <c r="Q600" s="13">
        <f>$O600*$U$5</f>
        <v>2</v>
      </c>
      <c r="R600" s="13" cm="1">
        <f t="array" ref="R600">_xlfn.IFS(B600=2023,O600*$U$4,B600=2024,O600*$U$5)</f>
        <v>1.5</v>
      </c>
    </row>
    <row r="601" spans="1:18">
      <c r="A601" s="2">
        <v>600</v>
      </c>
      <c r="B601" s="4">
        <f t="shared" si="46"/>
        <v>2023</v>
      </c>
      <c r="C601" s="4">
        <f t="shared" si="47"/>
        <v>10</v>
      </c>
      <c r="D601" s="4">
        <f t="shared" si="48"/>
        <v>22</v>
      </c>
      <c r="E601" s="4" t="str">
        <f t="shared" si="49"/>
        <v>Sunday</v>
      </c>
      <c r="F601" s="4" t="str">
        <f t="shared" si="50"/>
        <v>October</v>
      </c>
      <c r="G601" s="3">
        <v>45221</v>
      </c>
      <c r="H601" s="4" t="s">
        <v>632</v>
      </c>
      <c r="I601" s="4" t="s">
        <v>22</v>
      </c>
      <c r="J601" s="4" t="str" cm="1">
        <f t="array" ref="J601">_xlfn.IFS(K601&lt;30,"Young Adult",K601&lt;50,"Adult",K601&gt;=50,"Senior")</f>
        <v>Senior</v>
      </c>
      <c r="K601" s="4">
        <v>59</v>
      </c>
      <c r="L601" s="4" t="s">
        <v>20</v>
      </c>
      <c r="M601" s="4">
        <v>2</v>
      </c>
      <c r="N601" s="16">
        <v>500</v>
      </c>
      <c r="O601" s="17">
        <f>M601*N601</f>
        <v>1000</v>
      </c>
      <c r="P601" s="13">
        <f>$O601*$U$4</f>
        <v>15</v>
      </c>
      <c r="Q601" s="13">
        <f>$O601*$U$5</f>
        <v>20</v>
      </c>
      <c r="R601" s="13" cm="1">
        <f t="array" ref="R601">_xlfn.IFS(B601=2023,O601*$U$4,B601=2024,O601*$U$5)</f>
        <v>15</v>
      </c>
    </row>
    <row r="602" spans="1:18">
      <c r="A602" s="2">
        <v>601</v>
      </c>
      <c r="B602" s="4">
        <f t="shared" si="46"/>
        <v>2023</v>
      </c>
      <c r="C602" s="4">
        <f t="shared" si="47"/>
        <v>4</v>
      </c>
      <c r="D602" s="4">
        <f t="shared" si="48"/>
        <v>10</v>
      </c>
      <c r="E602" s="4" t="str">
        <f t="shared" si="49"/>
        <v>Monday</v>
      </c>
      <c r="F602" s="4" t="str">
        <f t="shared" si="50"/>
        <v>April</v>
      </c>
      <c r="G602" s="3">
        <v>45026</v>
      </c>
      <c r="H602" s="4" t="s">
        <v>633</v>
      </c>
      <c r="I602" s="4" t="s">
        <v>19</v>
      </c>
      <c r="J602" s="4" t="str" cm="1">
        <f t="array" ref="J602">_xlfn.IFS(K602&lt;30,"Young Adult",K602&lt;50,"Adult",K602&gt;=50,"Senior")</f>
        <v>Young Adult</v>
      </c>
      <c r="K602" s="4">
        <v>19</v>
      </c>
      <c r="L602" s="4" t="s">
        <v>23</v>
      </c>
      <c r="M602" s="4">
        <v>1</v>
      </c>
      <c r="N602" s="16">
        <v>30</v>
      </c>
      <c r="O602" s="17">
        <f>M602*N602</f>
        <v>30</v>
      </c>
      <c r="P602" s="13">
        <f>$O602*$U$4</f>
        <v>0.44999999999999996</v>
      </c>
      <c r="Q602" s="13">
        <f>$O602*$U$5</f>
        <v>0.6</v>
      </c>
      <c r="R602" s="13" cm="1">
        <f t="array" ref="R602">_xlfn.IFS(B602=2023,O602*$U$4,B602=2024,O602*$U$5)</f>
        <v>0.44999999999999996</v>
      </c>
    </row>
    <row r="603" spans="1:18">
      <c r="A603" s="2">
        <v>602</v>
      </c>
      <c r="B603" s="4">
        <f t="shared" si="46"/>
        <v>2023</v>
      </c>
      <c r="C603" s="4">
        <f t="shared" si="47"/>
        <v>12</v>
      </c>
      <c r="D603" s="4">
        <f t="shared" si="48"/>
        <v>23</v>
      </c>
      <c r="E603" s="4" t="str">
        <f t="shared" si="49"/>
        <v>Saturday</v>
      </c>
      <c r="F603" s="4" t="str">
        <f t="shared" si="50"/>
        <v>December</v>
      </c>
      <c r="G603" s="3">
        <v>45283</v>
      </c>
      <c r="H603" s="4" t="s">
        <v>634</v>
      </c>
      <c r="I603" s="4" t="s">
        <v>22</v>
      </c>
      <c r="J603" s="4" t="str" cm="1">
        <f t="array" ref="J603">_xlfn.IFS(K603&lt;30,"Young Adult",K603&lt;50,"Adult",K603&gt;=50,"Senior")</f>
        <v>Young Adult</v>
      </c>
      <c r="K603" s="4">
        <v>20</v>
      </c>
      <c r="L603" s="4" t="s">
        <v>26</v>
      </c>
      <c r="M603" s="4">
        <v>1</v>
      </c>
      <c r="N603" s="16">
        <v>300</v>
      </c>
      <c r="O603" s="17">
        <f>M603*N603</f>
        <v>300</v>
      </c>
      <c r="P603" s="13">
        <f>$O603*$U$4</f>
        <v>4.5</v>
      </c>
      <c r="Q603" s="13">
        <f>$O603*$U$5</f>
        <v>6</v>
      </c>
      <c r="R603" s="13" cm="1">
        <f t="array" ref="R603">_xlfn.IFS(B603=2023,O603*$U$4,B603=2024,O603*$U$5)</f>
        <v>4.5</v>
      </c>
    </row>
    <row r="604" spans="1:18">
      <c r="A604" s="2">
        <v>603</v>
      </c>
      <c r="B604" s="4">
        <f t="shared" si="46"/>
        <v>2023</v>
      </c>
      <c r="C604" s="4">
        <f t="shared" si="47"/>
        <v>7</v>
      </c>
      <c r="D604" s="4">
        <f t="shared" si="48"/>
        <v>16</v>
      </c>
      <c r="E604" s="4" t="str">
        <f t="shared" si="49"/>
        <v>Sunday</v>
      </c>
      <c r="F604" s="4" t="str">
        <f t="shared" si="50"/>
        <v>July</v>
      </c>
      <c r="G604" s="3">
        <v>45123</v>
      </c>
      <c r="H604" s="4" t="s">
        <v>635</v>
      </c>
      <c r="I604" s="4" t="s">
        <v>22</v>
      </c>
      <c r="J604" s="4" t="str" cm="1">
        <f t="array" ref="J604">_xlfn.IFS(K604&lt;30,"Young Adult",K604&lt;50,"Adult",K604&gt;=50,"Senior")</f>
        <v>Adult</v>
      </c>
      <c r="K604" s="4">
        <v>40</v>
      </c>
      <c r="L604" s="4" t="s">
        <v>23</v>
      </c>
      <c r="M604" s="4">
        <v>3</v>
      </c>
      <c r="N604" s="16">
        <v>30</v>
      </c>
      <c r="O604" s="17">
        <f>M604*N604</f>
        <v>90</v>
      </c>
      <c r="P604" s="13">
        <f>$O604*$U$4</f>
        <v>1.3499999999999999</v>
      </c>
      <c r="Q604" s="13">
        <f>$O604*$U$5</f>
        <v>1.8</v>
      </c>
      <c r="R604" s="13" cm="1">
        <f t="array" ref="R604">_xlfn.IFS(B604=2023,O604*$U$4,B604=2024,O604*$U$5)</f>
        <v>1.3499999999999999</v>
      </c>
    </row>
    <row r="605" spans="1:18">
      <c r="A605" s="2">
        <v>604</v>
      </c>
      <c r="B605" s="4">
        <f t="shared" si="46"/>
        <v>2023</v>
      </c>
      <c r="C605" s="4">
        <f t="shared" si="47"/>
        <v>9</v>
      </c>
      <c r="D605" s="4">
        <f t="shared" si="48"/>
        <v>11</v>
      </c>
      <c r="E605" s="4" t="str">
        <f t="shared" si="49"/>
        <v>Monday</v>
      </c>
      <c r="F605" s="4" t="str">
        <f t="shared" si="50"/>
        <v>September</v>
      </c>
      <c r="G605" s="3">
        <v>45180</v>
      </c>
      <c r="H605" s="4" t="s">
        <v>636</v>
      </c>
      <c r="I605" s="4" t="s">
        <v>22</v>
      </c>
      <c r="J605" s="4" t="str" cm="1">
        <f t="array" ref="J605">_xlfn.IFS(K605&lt;30,"Young Adult",K605&lt;50,"Adult",K605&gt;=50,"Senior")</f>
        <v>Young Adult</v>
      </c>
      <c r="K605" s="4">
        <v>29</v>
      </c>
      <c r="L605" s="4" t="s">
        <v>26</v>
      </c>
      <c r="M605" s="4">
        <v>4</v>
      </c>
      <c r="N605" s="16">
        <v>50</v>
      </c>
      <c r="O605" s="17">
        <f>M605*N605</f>
        <v>200</v>
      </c>
      <c r="P605" s="13">
        <f>$O605*$U$4</f>
        <v>3</v>
      </c>
      <c r="Q605" s="13">
        <f>$O605*$U$5</f>
        <v>4</v>
      </c>
      <c r="R605" s="13" cm="1">
        <f t="array" ref="R605">_xlfn.IFS(B605=2023,O605*$U$4,B605=2024,O605*$U$5)</f>
        <v>3</v>
      </c>
    </row>
    <row r="606" spans="1:18">
      <c r="A606" s="2">
        <v>605</v>
      </c>
      <c r="B606" s="4">
        <f t="shared" si="46"/>
        <v>2023</v>
      </c>
      <c r="C606" s="4">
        <f t="shared" si="47"/>
        <v>7</v>
      </c>
      <c r="D606" s="4">
        <f t="shared" si="48"/>
        <v>24</v>
      </c>
      <c r="E606" s="4" t="str">
        <f t="shared" si="49"/>
        <v>Monday</v>
      </c>
      <c r="F606" s="4" t="str">
        <f t="shared" si="50"/>
        <v>July</v>
      </c>
      <c r="G606" s="3">
        <v>45131</v>
      </c>
      <c r="H606" s="4" t="s">
        <v>637</v>
      </c>
      <c r="I606" s="4" t="s">
        <v>19</v>
      </c>
      <c r="J606" s="4" t="str" cm="1">
        <f t="array" ref="J606">_xlfn.IFS(K606&lt;30,"Young Adult",K606&lt;50,"Adult",K606&gt;=50,"Senior")</f>
        <v>Adult</v>
      </c>
      <c r="K606" s="4">
        <v>37</v>
      </c>
      <c r="L606" s="4" t="s">
        <v>26</v>
      </c>
      <c r="M606" s="4">
        <v>2</v>
      </c>
      <c r="N606" s="16">
        <v>500</v>
      </c>
      <c r="O606" s="17">
        <f>M606*N606</f>
        <v>1000</v>
      </c>
      <c r="P606" s="13">
        <f>$O606*$U$4</f>
        <v>15</v>
      </c>
      <c r="Q606" s="13">
        <f>$O606*$U$5</f>
        <v>20</v>
      </c>
      <c r="R606" s="13" cm="1">
        <f t="array" ref="R606">_xlfn.IFS(B606=2023,O606*$U$4,B606=2024,O606*$U$5)</f>
        <v>15</v>
      </c>
    </row>
    <row r="607" spans="1:18">
      <c r="A607" s="2">
        <v>606</v>
      </c>
      <c r="B607" s="4">
        <f t="shared" si="46"/>
        <v>2023</v>
      </c>
      <c r="C607" s="4">
        <f t="shared" si="47"/>
        <v>5</v>
      </c>
      <c r="D607" s="4">
        <f t="shared" si="48"/>
        <v>5</v>
      </c>
      <c r="E607" s="4" t="str">
        <f t="shared" si="49"/>
        <v>Friday</v>
      </c>
      <c r="F607" s="4" t="str">
        <f t="shared" si="50"/>
        <v>May</v>
      </c>
      <c r="G607" s="3">
        <v>45051</v>
      </c>
      <c r="H607" s="4" t="s">
        <v>638</v>
      </c>
      <c r="I607" s="4" t="s">
        <v>19</v>
      </c>
      <c r="J607" s="4" t="str" cm="1">
        <f t="array" ref="J607">_xlfn.IFS(K607&lt;30,"Young Adult",K607&lt;50,"Adult",K607&gt;=50,"Senior")</f>
        <v>Young Adult</v>
      </c>
      <c r="K607" s="4">
        <v>22</v>
      </c>
      <c r="L607" s="4" t="s">
        <v>26</v>
      </c>
      <c r="M607" s="4">
        <v>1</v>
      </c>
      <c r="N607" s="16">
        <v>50</v>
      </c>
      <c r="O607" s="17">
        <f>M607*N607</f>
        <v>50</v>
      </c>
      <c r="P607" s="13">
        <f>$O607*$U$4</f>
        <v>0.75</v>
      </c>
      <c r="Q607" s="13">
        <f>$O607*$U$5</f>
        <v>1</v>
      </c>
      <c r="R607" s="13" cm="1">
        <f t="array" ref="R607">_xlfn.IFS(B607=2023,O607*$U$4,B607=2024,O607*$U$5)</f>
        <v>0.75</v>
      </c>
    </row>
    <row r="608" spans="1:18">
      <c r="A608" s="2">
        <v>607</v>
      </c>
      <c r="B608" s="4">
        <f t="shared" si="46"/>
        <v>2023</v>
      </c>
      <c r="C608" s="4">
        <f t="shared" si="47"/>
        <v>3</v>
      </c>
      <c r="D608" s="4">
        <f t="shared" si="48"/>
        <v>17</v>
      </c>
      <c r="E608" s="4" t="str">
        <f t="shared" si="49"/>
        <v>Friday</v>
      </c>
      <c r="F608" s="4" t="str">
        <f t="shared" si="50"/>
        <v>March</v>
      </c>
      <c r="G608" s="3">
        <v>45002</v>
      </c>
      <c r="H608" s="4" t="s">
        <v>639</v>
      </c>
      <c r="I608" s="4" t="s">
        <v>19</v>
      </c>
      <c r="J608" s="4" t="str" cm="1">
        <f t="array" ref="J608">_xlfn.IFS(K608&lt;30,"Young Adult",K608&lt;50,"Adult",K608&gt;=50,"Senior")</f>
        <v>Senior</v>
      </c>
      <c r="K608" s="4">
        <v>54</v>
      </c>
      <c r="L608" s="4" t="s">
        <v>23</v>
      </c>
      <c r="M608" s="4">
        <v>3</v>
      </c>
      <c r="N608" s="16">
        <v>25</v>
      </c>
      <c r="O608" s="17">
        <f>M608*N608</f>
        <v>75</v>
      </c>
      <c r="P608" s="13">
        <f>$O608*$U$4</f>
        <v>1.125</v>
      </c>
      <c r="Q608" s="13">
        <f>$O608*$U$5</f>
        <v>1.5</v>
      </c>
      <c r="R608" s="13" cm="1">
        <f t="array" ref="R608">_xlfn.IFS(B608=2023,O608*$U$4,B608=2024,O608*$U$5)</f>
        <v>1.125</v>
      </c>
    </row>
    <row r="609" spans="1:18">
      <c r="A609" s="2">
        <v>608</v>
      </c>
      <c r="B609" s="4">
        <f t="shared" si="46"/>
        <v>2023</v>
      </c>
      <c r="C609" s="4">
        <f t="shared" si="47"/>
        <v>12</v>
      </c>
      <c r="D609" s="4">
        <f t="shared" si="48"/>
        <v>2</v>
      </c>
      <c r="E609" s="4" t="str">
        <f t="shared" si="49"/>
        <v>Saturday</v>
      </c>
      <c r="F609" s="4" t="str">
        <f t="shared" si="50"/>
        <v>December</v>
      </c>
      <c r="G609" s="3">
        <v>45262</v>
      </c>
      <c r="H609" s="4" t="s">
        <v>640</v>
      </c>
      <c r="I609" s="4" t="s">
        <v>22</v>
      </c>
      <c r="J609" s="4" t="str" cm="1">
        <f t="array" ref="J609">_xlfn.IFS(K609&lt;30,"Young Adult",K609&lt;50,"Adult",K609&gt;=50,"Senior")</f>
        <v>Senior</v>
      </c>
      <c r="K609" s="4">
        <v>55</v>
      </c>
      <c r="L609" s="4" t="s">
        <v>26</v>
      </c>
      <c r="M609" s="4">
        <v>3</v>
      </c>
      <c r="N609" s="16">
        <v>500</v>
      </c>
      <c r="O609" s="17">
        <f>M609*N609</f>
        <v>1500</v>
      </c>
      <c r="P609" s="13">
        <f>$O609*$U$4</f>
        <v>22.5</v>
      </c>
      <c r="Q609" s="13">
        <f>$O609*$U$5</f>
        <v>30</v>
      </c>
      <c r="R609" s="13" cm="1">
        <f t="array" ref="R609">_xlfn.IFS(B609=2023,O609*$U$4,B609=2024,O609*$U$5)</f>
        <v>22.5</v>
      </c>
    </row>
    <row r="610" spans="1:18">
      <c r="A610" s="2">
        <v>609</v>
      </c>
      <c r="B610" s="4">
        <f t="shared" si="46"/>
        <v>2023</v>
      </c>
      <c r="C610" s="4">
        <f t="shared" si="47"/>
        <v>12</v>
      </c>
      <c r="D610" s="4">
        <f t="shared" si="48"/>
        <v>19</v>
      </c>
      <c r="E610" s="4" t="str">
        <f t="shared" si="49"/>
        <v>Tuesday</v>
      </c>
      <c r="F610" s="4" t="str">
        <f t="shared" si="50"/>
        <v>December</v>
      </c>
      <c r="G610" s="3">
        <v>45279</v>
      </c>
      <c r="H610" s="4" t="s">
        <v>641</v>
      </c>
      <c r="I610" s="4" t="s">
        <v>22</v>
      </c>
      <c r="J610" s="4" t="str" cm="1">
        <f t="array" ref="J610">_xlfn.IFS(K610&lt;30,"Young Adult",K610&lt;50,"Adult",K610&gt;=50,"Senior")</f>
        <v>Adult</v>
      </c>
      <c r="K610" s="4">
        <v>47</v>
      </c>
      <c r="L610" s="4" t="s">
        <v>23</v>
      </c>
      <c r="M610" s="4">
        <v>2</v>
      </c>
      <c r="N610" s="16">
        <v>50</v>
      </c>
      <c r="O610" s="17">
        <f>M610*N610</f>
        <v>100</v>
      </c>
      <c r="P610" s="13">
        <f>$O610*$U$4</f>
        <v>1.5</v>
      </c>
      <c r="Q610" s="13">
        <f>$O610*$U$5</f>
        <v>2</v>
      </c>
      <c r="R610" s="13" cm="1">
        <f t="array" ref="R610">_xlfn.IFS(B610=2023,O610*$U$4,B610=2024,O610*$U$5)</f>
        <v>1.5</v>
      </c>
    </row>
    <row r="611" spans="1:18">
      <c r="A611" s="2">
        <v>610</v>
      </c>
      <c r="B611" s="4">
        <f t="shared" si="46"/>
        <v>2023</v>
      </c>
      <c r="C611" s="4">
        <f t="shared" si="47"/>
        <v>1</v>
      </c>
      <c r="D611" s="4">
        <f t="shared" si="48"/>
        <v>3</v>
      </c>
      <c r="E611" s="4" t="str">
        <f t="shared" si="49"/>
        <v>Tuesday</v>
      </c>
      <c r="F611" s="4" t="str">
        <f t="shared" si="50"/>
        <v>January</v>
      </c>
      <c r="G611" s="3">
        <v>44929</v>
      </c>
      <c r="H611" s="4" t="s">
        <v>642</v>
      </c>
      <c r="I611" s="4" t="s">
        <v>22</v>
      </c>
      <c r="J611" s="4" t="str" cm="1">
        <f t="array" ref="J611">_xlfn.IFS(K611&lt;30,"Young Adult",K611&lt;50,"Adult",K611&gt;=50,"Senior")</f>
        <v>Young Adult</v>
      </c>
      <c r="K611" s="4">
        <v>26</v>
      </c>
      <c r="L611" s="4" t="s">
        <v>20</v>
      </c>
      <c r="M611" s="4">
        <v>2</v>
      </c>
      <c r="N611" s="16">
        <v>300</v>
      </c>
      <c r="O611" s="17">
        <f>M611*N611</f>
        <v>600</v>
      </c>
      <c r="P611" s="13">
        <f>$O611*$U$4</f>
        <v>9</v>
      </c>
      <c r="Q611" s="13">
        <f>$O611*$U$5</f>
        <v>12</v>
      </c>
      <c r="R611" s="13" cm="1">
        <f t="array" ref="R611">_xlfn.IFS(B611=2023,O611*$U$4,B611=2024,O611*$U$5)</f>
        <v>9</v>
      </c>
    </row>
    <row r="612" spans="1:18">
      <c r="A612" s="2">
        <v>611</v>
      </c>
      <c r="B612" s="4">
        <f t="shared" si="46"/>
        <v>2023</v>
      </c>
      <c r="C612" s="4">
        <f t="shared" si="47"/>
        <v>2</v>
      </c>
      <c r="D612" s="4">
        <f t="shared" si="48"/>
        <v>24</v>
      </c>
      <c r="E612" s="4" t="str">
        <f t="shared" si="49"/>
        <v>Friday</v>
      </c>
      <c r="F612" s="4" t="str">
        <f t="shared" si="50"/>
        <v>February</v>
      </c>
      <c r="G612" s="3">
        <v>44981</v>
      </c>
      <c r="H612" s="4" t="s">
        <v>643</v>
      </c>
      <c r="I612" s="4" t="s">
        <v>19</v>
      </c>
      <c r="J612" s="4" t="str" cm="1">
        <f t="array" ref="J612">_xlfn.IFS(K612&lt;30,"Young Adult",K612&lt;50,"Adult",K612&gt;=50,"Senior")</f>
        <v>Senior</v>
      </c>
      <c r="K612" s="4">
        <v>51</v>
      </c>
      <c r="L612" s="4" t="s">
        <v>20</v>
      </c>
      <c r="M612" s="4">
        <v>3</v>
      </c>
      <c r="N612" s="16">
        <v>500</v>
      </c>
      <c r="O612" s="17">
        <f>M612*N612</f>
        <v>1500</v>
      </c>
      <c r="P612" s="13">
        <f>$O612*$U$4</f>
        <v>22.5</v>
      </c>
      <c r="Q612" s="13">
        <f>$O612*$U$5</f>
        <v>30</v>
      </c>
      <c r="R612" s="13" cm="1">
        <f t="array" ref="R612">_xlfn.IFS(B612=2023,O612*$U$4,B612=2024,O612*$U$5)</f>
        <v>22.5</v>
      </c>
    </row>
    <row r="613" spans="1:18">
      <c r="A613" s="2">
        <v>612</v>
      </c>
      <c r="B613" s="4">
        <f t="shared" si="46"/>
        <v>2023</v>
      </c>
      <c r="C613" s="4">
        <f t="shared" si="47"/>
        <v>8</v>
      </c>
      <c r="D613" s="4">
        <f t="shared" si="48"/>
        <v>6</v>
      </c>
      <c r="E613" s="4" t="str">
        <f t="shared" si="49"/>
        <v>Sunday</v>
      </c>
      <c r="F613" s="4" t="str">
        <f t="shared" si="50"/>
        <v>August</v>
      </c>
      <c r="G613" s="3">
        <v>45144</v>
      </c>
      <c r="H613" s="4" t="s">
        <v>644</v>
      </c>
      <c r="I613" s="4" t="s">
        <v>22</v>
      </c>
      <c r="J613" s="4" t="str" cm="1">
        <f t="array" ref="J613">_xlfn.IFS(K613&lt;30,"Young Adult",K613&lt;50,"Adult",K613&gt;=50,"Senior")</f>
        <v>Senior</v>
      </c>
      <c r="K613" s="4">
        <v>61</v>
      </c>
      <c r="L613" s="4" t="s">
        <v>26</v>
      </c>
      <c r="M613" s="4">
        <v>1</v>
      </c>
      <c r="N613" s="16">
        <v>500</v>
      </c>
      <c r="O613" s="17">
        <f>M613*N613</f>
        <v>500</v>
      </c>
      <c r="P613" s="13">
        <f>$O613*$U$4</f>
        <v>7.5</v>
      </c>
      <c r="Q613" s="13">
        <f>$O613*$U$5</f>
        <v>10</v>
      </c>
      <c r="R613" s="13" cm="1">
        <f t="array" ref="R613">_xlfn.IFS(B613=2023,O613*$U$4,B613=2024,O613*$U$5)</f>
        <v>7.5</v>
      </c>
    </row>
    <row r="614" spans="1:18">
      <c r="A614" s="2">
        <v>613</v>
      </c>
      <c r="B614" s="4">
        <f t="shared" si="46"/>
        <v>2023</v>
      </c>
      <c r="C614" s="4">
        <f t="shared" si="47"/>
        <v>4</v>
      </c>
      <c r="D614" s="4">
        <f t="shared" si="48"/>
        <v>23</v>
      </c>
      <c r="E614" s="4" t="str">
        <f t="shared" si="49"/>
        <v>Sunday</v>
      </c>
      <c r="F614" s="4" t="str">
        <f t="shared" si="50"/>
        <v>April</v>
      </c>
      <c r="G614" s="3">
        <v>45039</v>
      </c>
      <c r="H614" s="4" t="s">
        <v>645</v>
      </c>
      <c r="I614" s="4" t="s">
        <v>22</v>
      </c>
      <c r="J614" s="4" t="str" cm="1">
        <f t="array" ref="J614">_xlfn.IFS(K614&lt;30,"Young Adult",K614&lt;50,"Adult",K614&gt;=50,"Senior")</f>
        <v>Senior</v>
      </c>
      <c r="K614" s="4">
        <v>52</v>
      </c>
      <c r="L614" s="4" t="s">
        <v>23</v>
      </c>
      <c r="M614" s="4">
        <v>3</v>
      </c>
      <c r="N614" s="16">
        <v>30</v>
      </c>
      <c r="O614" s="17">
        <f>M614*N614</f>
        <v>90</v>
      </c>
      <c r="P614" s="13">
        <f>$O614*$U$4</f>
        <v>1.3499999999999999</v>
      </c>
      <c r="Q614" s="13">
        <f>$O614*$U$5</f>
        <v>1.8</v>
      </c>
      <c r="R614" s="13" cm="1">
        <f t="array" ref="R614">_xlfn.IFS(B614=2023,O614*$U$4,B614=2024,O614*$U$5)</f>
        <v>1.3499999999999999</v>
      </c>
    </row>
    <row r="615" spans="1:18">
      <c r="A615" s="2">
        <v>614</v>
      </c>
      <c r="B615" s="4">
        <f t="shared" si="46"/>
        <v>2023</v>
      </c>
      <c r="C615" s="4">
        <f t="shared" si="47"/>
        <v>4</v>
      </c>
      <c r="D615" s="4">
        <f t="shared" si="48"/>
        <v>1</v>
      </c>
      <c r="E615" s="4" t="str">
        <f t="shared" si="49"/>
        <v>Saturday</v>
      </c>
      <c r="F615" s="4" t="str">
        <f t="shared" si="50"/>
        <v>April</v>
      </c>
      <c r="G615" s="3">
        <v>45017</v>
      </c>
      <c r="H615" s="4" t="s">
        <v>646</v>
      </c>
      <c r="I615" s="4" t="s">
        <v>22</v>
      </c>
      <c r="J615" s="4" t="str" cm="1">
        <f t="array" ref="J615">_xlfn.IFS(K615&lt;30,"Young Adult",K615&lt;50,"Adult",K615&gt;=50,"Senior")</f>
        <v>Adult</v>
      </c>
      <c r="K615" s="4">
        <v>39</v>
      </c>
      <c r="L615" s="4" t="s">
        <v>20</v>
      </c>
      <c r="M615" s="4">
        <v>4</v>
      </c>
      <c r="N615" s="16">
        <v>300</v>
      </c>
      <c r="O615" s="17">
        <f>M615*N615</f>
        <v>1200</v>
      </c>
      <c r="P615" s="13">
        <f>$O615*$U$4</f>
        <v>18</v>
      </c>
      <c r="Q615" s="13">
        <f>$O615*$U$5</f>
        <v>24</v>
      </c>
      <c r="R615" s="13" cm="1">
        <f t="array" ref="R615">_xlfn.IFS(B615=2023,O615*$U$4,B615=2024,O615*$U$5)</f>
        <v>18</v>
      </c>
    </row>
    <row r="616" spans="1:18">
      <c r="A616" s="2">
        <v>615</v>
      </c>
      <c r="B616" s="4">
        <f t="shared" si="46"/>
        <v>2023</v>
      </c>
      <c r="C616" s="4">
        <f t="shared" si="47"/>
        <v>12</v>
      </c>
      <c r="D616" s="4">
        <f t="shared" si="48"/>
        <v>23</v>
      </c>
      <c r="E616" s="4" t="str">
        <f t="shared" si="49"/>
        <v>Saturday</v>
      </c>
      <c r="F616" s="4" t="str">
        <f t="shared" si="50"/>
        <v>December</v>
      </c>
      <c r="G616" s="3">
        <v>45283</v>
      </c>
      <c r="H616" s="4" t="s">
        <v>647</v>
      </c>
      <c r="I616" s="4" t="s">
        <v>22</v>
      </c>
      <c r="J616" s="4" t="str" cm="1">
        <f t="array" ref="J616">_xlfn.IFS(K616&lt;30,"Young Adult",K616&lt;50,"Adult",K616&gt;=50,"Senior")</f>
        <v>Senior</v>
      </c>
      <c r="K616" s="4">
        <v>61</v>
      </c>
      <c r="L616" s="4" t="s">
        <v>23</v>
      </c>
      <c r="M616" s="4">
        <v>4</v>
      </c>
      <c r="N616" s="16">
        <v>25</v>
      </c>
      <c r="O616" s="17">
        <f>M616*N616</f>
        <v>100</v>
      </c>
      <c r="P616" s="13">
        <f>$O616*$U$4</f>
        <v>1.5</v>
      </c>
      <c r="Q616" s="13">
        <f>$O616*$U$5</f>
        <v>2</v>
      </c>
      <c r="R616" s="13" cm="1">
        <f t="array" ref="R616">_xlfn.IFS(B616=2023,O616*$U$4,B616=2024,O616*$U$5)</f>
        <v>1.5</v>
      </c>
    </row>
    <row r="617" spans="1:18">
      <c r="A617" s="2">
        <v>616</v>
      </c>
      <c r="B617" s="4">
        <f t="shared" si="46"/>
        <v>2023</v>
      </c>
      <c r="C617" s="4">
        <f t="shared" si="47"/>
        <v>9</v>
      </c>
      <c r="D617" s="4">
        <f t="shared" si="48"/>
        <v>23</v>
      </c>
      <c r="E617" s="4" t="str">
        <f t="shared" si="49"/>
        <v>Saturday</v>
      </c>
      <c r="F617" s="4" t="str">
        <f t="shared" si="50"/>
        <v>September</v>
      </c>
      <c r="G617" s="3">
        <v>45192</v>
      </c>
      <c r="H617" s="4" t="s">
        <v>648</v>
      </c>
      <c r="I617" s="4" t="s">
        <v>19</v>
      </c>
      <c r="J617" s="4" t="str" cm="1">
        <f t="array" ref="J617">_xlfn.IFS(K617&lt;30,"Young Adult",K617&lt;50,"Adult",K617&gt;=50,"Senior")</f>
        <v>Adult</v>
      </c>
      <c r="K617" s="4">
        <v>41</v>
      </c>
      <c r="L617" s="4" t="s">
        <v>23</v>
      </c>
      <c r="M617" s="4">
        <v>2</v>
      </c>
      <c r="N617" s="16">
        <v>50</v>
      </c>
      <c r="O617" s="17">
        <f>M617*N617</f>
        <v>100</v>
      </c>
      <c r="P617" s="13">
        <f>$O617*$U$4</f>
        <v>1.5</v>
      </c>
      <c r="Q617" s="13">
        <f>$O617*$U$5</f>
        <v>2</v>
      </c>
      <c r="R617" s="13" cm="1">
        <f t="array" ref="R617">_xlfn.IFS(B617=2023,O617*$U$4,B617=2024,O617*$U$5)</f>
        <v>1.5</v>
      </c>
    </row>
    <row r="618" spans="1:18">
      <c r="A618" s="2">
        <v>617</v>
      </c>
      <c r="B618" s="4">
        <f t="shared" si="46"/>
        <v>2023</v>
      </c>
      <c r="C618" s="4">
        <f t="shared" si="47"/>
        <v>8</v>
      </c>
      <c r="D618" s="4">
        <f t="shared" si="48"/>
        <v>26</v>
      </c>
      <c r="E618" s="4" t="str">
        <f t="shared" si="49"/>
        <v>Saturday</v>
      </c>
      <c r="F618" s="4" t="str">
        <f t="shared" si="50"/>
        <v>August</v>
      </c>
      <c r="G618" s="3">
        <v>45164</v>
      </c>
      <c r="H618" s="4" t="s">
        <v>649</v>
      </c>
      <c r="I618" s="4" t="s">
        <v>19</v>
      </c>
      <c r="J618" s="4" t="str" cm="1">
        <f t="array" ref="J618">_xlfn.IFS(K618&lt;30,"Young Adult",K618&lt;50,"Adult",K618&gt;=50,"Senior")</f>
        <v>Adult</v>
      </c>
      <c r="K618" s="4">
        <v>34</v>
      </c>
      <c r="L618" s="4" t="s">
        <v>26</v>
      </c>
      <c r="M618" s="4">
        <v>1</v>
      </c>
      <c r="N618" s="16">
        <v>30</v>
      </c>
      <c r="O618" s="17">
        <f>M618*N618</f>
        <v>30</v>
      </c>
      <c r="P618" s="13">
        <f>$O618*$U$4</f>
        <v>0.44999999999999996</v>
      </c>
      <c r="Q618" s="13">
        <f>$O618*$U$5</f>
        <v>0.6</v>
      </c>
      <c r="R618" s="13" cm="1">
        <f t="array" ref="R618">_xlfn.IFS(B618=2023,O618*$U$4,B618=2024,O618*$U$5)</f>
        <v>0.44999999999999996</v>
      </c>
    </row>
    <row r="619" spans="1:18">
      <c r="A619" s="2">
        <v>618</v>
      </c>
      <c r="B619" s="4">
        <f t="shared" si="46"/>
        <v>2023</v>
      </c>
      <c r="C619" s="4">
        <f t="shared" si="47"/>
        <v>1</v>
      </c>
      <c r="D619" s="4">
        <f t="shared" si="48"/>
        <v>26</v>
      </c>
      <c r="E619" s="4" t="str">
        <f t="shared" si="49"/>
        <v>Thursday</v>
      </c>
      <c r="F619" s="4" t="str">
        <f t="shared" si="50"/>
        <v>January</v>
      </c>
      <c r="G619" s="3">
        <v>44952</v>
      </c>
      <c r="H619" s="4" t="s">
        <v>650</v>
      </c>
      <c r="I619" s="4" t="s">
        <v>22</v>
      </c>
      <c r="J619" s="4" t="str" cm="1">
        <f t="array" ref="J619">_xlfn.IFS(K619&lt;30,"Young Adult",K619&lt;50,"Adult",K619&gt;=50,"Senior")</f>
        <v>Young Adult</v>
      </c>
      <c r="K619" s="4">
        <v>27</v>
      </c>
      <c r="L619" s="4" t="s">
        <v>20</v>
      </c>
      <c r="M619" s="4">
        <v>1</v>
      </c>
      <c r="N619" s="16">
        <v>50</v>
      </c>
      <c r="O619" s="17">
        <f>M619*N619</f>
        <v>50</v>
      </c>
      <c r="P619" s="13">
        <f>$O619*$U$4</f>
        <v>0.75</v>
      </c>
      <c r="Q619" s="13">
        <f>$O619*$U$5</f>
        <v>1</v>
      </c>
      <c r="R619" s="13" cm="1">
        <f t="array" ref="R619">_xlfn.IFS(B619=2023,O619*$U$4,B619=2024,O619*$U$5)</f>
        <v>0.75</v>
      </c>
    </row>
    <row r="620" spans="1:18">
      <c r="A620" s="2">
        <v>619</v>
      </c>
      <c r="B620" s="4">
        <f t="shared" si="46"/>
        <v>2023</v>
      </c>
      <c r="C620" s="4">
        <f t="shared" si="47"/>
        <v>10</v>
      </c>
      <c r="D620" s="4">
        <f t="shared" si="48"/>
        <v>13</v>
      </c>
      <c r="E620" s="4" t="str">
        <f t="shared" si="49"/>
        <v>Friday</v>
      </c>
      <c r="F620" s="4" t="str">
        <f t="shared" si="50"/>
        <v>October</v>
      </c>
      <c r="G620" s="3">
        <v>45212</v>
      </c>
      <c r="H620" s="4" t="s">
        <v>651</v>
      </c>
      <c r="I620" s="4" t="s">
        <v>19</v>
      </c>
      <c r="J620" s="4" t="str" cm="1">
        <f t="array" ref="J620">_xlfn.IFS(K620&lt;30,"Young Adult",K620&lt;50,"Adult",K620&gt;=50,"Senior")</f>
        <v>Adult</v>
      </c>
      <c r="K620" s="4">
        <v>47</v>
      </c>
      <c r="L620" s="4" t="s">
        <v>26</v>
      </c>
      <c r="M620" s="4">
        <v>4</v>
      </c>
      <c r="N620" s="16">
        <v>25</v>
      </c>
      <c r="O620" s="17">
        <f>M620*N620</f>
        <v>100</v>
      </c>
      <c r="P620" s="13">
        <f>$O620*$U$4</f>
        <v>1.5</v>
      </c>
      <c r="Q620" s="13">
        <f>$O620*$U$5</f>
        <v>2</v>
      </c>
      <c r="R620" s="13" cm="1">
        <f t="array" ref="R620">_xlfn.IFS(B620=2023,O620*$U$4,B620=2024,O620*$U$5)</f>
        <v>1.5</v>
      </c>
    </row>
    <row r="621" spans="1:18">
      <c r="A621" s="2">
        <v>620</v>
      </c>
      <c r="B621" s="4">
        <f t="shared" si="46"/>
        <v>2023</v>
      </c>
      <c r="C621" s="4">
        <f t="shared" si="47"/>
        <v>5</v>
      </c>
      <c r="D621" s="4">
        <f t="shared" si="48"/>
        <v>8</v>
      </c>
      <c r="E621" s="4" t="str">
        <f t="shared" si="49"/>
        <v>Monday</v>
      </c>
      <c r="F621" s="4" t="str">
        <f t="shared" si="50"/>
        <v>May</v>
      </c>
      <c r="G621" s="3">
        <v>45054</v>
      </c>
      <c r="H621" s="4" t="s">
        <v>652</v>
      </c>
      <c r="I621" s="4" t="s">
        <v>19</v>
      </c>
      <c r="J621" s="4" t="str" cm="1">
        <f t="array" ref="J621">_xlfn.IFS(K621&lt;30,"Young Adult",K621&lt;50,"Adult",K621&gt;=50,"Senior")</f>
        <v>Senior</v>
      </c>
      <c r="K621" s="4">
        <v>63</v>
      </c>
      <c r="L621" s="4" t="s">
        <v>26</v>
      </c>
      <c r="M621" s="4">
        <v>3</v>
      </c>
      <c r="N621" s="16">
        <v>25</v>
      </c>
      <c r="O621" s="17">
        <f>M621*N621</f>
        <v>75</v>
      </c>
      <c r="P621" s="13">
        <f>$O621*$U$4</f>
        <v>1.125</v>
      </c>
      <c r="Q621" s="13">
        <f>$O621*$U$5</f>
        <v>1.5</v>
      </c>
      <c r="R621" s="13" cm="1">
        <f t="array" ref="R621">_xlfn.IFS(B621=2023,O621*$U$4,B621=2024,O621*$U$5)</f>
        <v>1.125</v>
      </c>
    </row>
    <row r="622" spans="1:18">
      <c r="A622" s="2">
        <v>621</v>
      </c>
      <c r="B622" s="4">
        <f t="shared" si="46"/>
        <v>2023</v>
      </c>
      <c r="C622" s="4">
        <f t="shared" si="47"/>
        <v>3</v>
      </c>
      <c r="D622" s="4">
        <f t="shared" si="48"/>
        <v>4</v>
      </c>
      <c r="E622" s="4" t="str">
        <f t="shared" si="49"/>
        <v>Saturday</v>
      </c>
      <c r="F622" s="4" t="str">
        <f t="shared" si="50"/>
        <v>March</v>
      </c>
      <c r="G622" s="3">
        <v>44989</v>
      </c>
      <c r="H622" s="4" t="s">
        <v>653</v>
      </c>
      <c r="I622" s="4" t="s">
        <v>22</v>
      </c>
      <c r="J622" s="4" t="str" cm="1">
        <f t="array" ref="J622">_xlfn.IFS(K622&lt;30,"Young Adult",K622&lt;50,"Adult",K622&gt;=50,"Senior")</f>
        <v>Adult</v>
      </c>
      <c r="K622" s="4">
        <v>40</v>
      </c>
      <c r="L622" s="4" t="s">
        <v>20</v>
      </c>
      <c r="M622" s="4">
        <v>2</v>
      </c>
      <c r="N622" s="16">
        <v>500</v>
      </c>
      <c r="O622" s="17">
        <f>M622*N622</f>
        <v>1000</v>
      </c>
      <c r="P622" s="13">
        <f>$O622*$U$4</f>
        <v>15</v>
      </c>
      <c r="Q622" s="13">
        <f>$O622*$U$5</f>
        <v>20</v>
      </c>
      <c r="R622" s="13" cm="1">
        <f t="array" ref="R622">_xlfn.IFS(B622=2023,O622*$U$4,B622=2024,O622*$U$5)</f>
        <v>15</v>
      </c>
    </row>
    <row r="623" spans="1:18">
      <c r="A623" s="2">
        <v>622</v>
      </c>
      <c r="B623" s="4">
        <f t="shared" si="46"/>
        <v>2023</v>
      </c>
      <c r="C623" s="4">
        <f t="shared" si="47"/>
        <v>8</v>
      </c>
      <c r="D623" s="4">
        <f t="shared" si="48"/>
        <v>22</v>
      </c>
      <c r="E623" s="4" t="str">
        <f t="shared" si="49"/>
        <v>Tuesday</v>
      </c>
      <c r="F623" s="4" t="str">
        <f t="shared" si="50"/>
        <v>August</v>
      </c>
      <c r="G623" s="3">
        <v>45160</v>
      </c>
      <c r="H623" s="4" t="s">
        <v>654</v>
      </c>
      <c r="I623" s="4" t="s">
        <v>22</v>
      </c>
      <c r="J623" s="4" t="str" cm="1">
        <f t="array" ref="J623">_xlfn.IFS(K623&lt;30,"Young Adult",K623&lt;50,"Adult",K623&gt;=50,"Senior")</f>
        <v>Adult</v>
      </c>
      <c r="K623" s="4">
        <v>49</v>
      </c>
      <c r="L623" s="4" t="s">
        <v>20</v>
      </c>
      <c r="M623" s="4">
        <v>3</v>
      </c>
      <c r="N623" s="16">
        <v>25</v>
      </c>
      <c r="O623" s="17">
        <f>M623*N623</f>
        <v>75</v>
      </c>
      <c r="P623" s="13">
        <f>$O623*$U$4</f>
        <v>1.125</v>
      </c>
      <c r="Q623" s="13">
        <f>$O623*$U$5</f>
        <v>1.5</v>
      </c>
      <c r="R623" s="13" cm="1">
        <f t="array" ref="R623">_xlfn.IFS(B623=2023,O623*$U$4,B623=2024,O623*$U$5)</f>
        <v>1.125</v>
      </c>
    </row>
    <row r="624" spans="1:18">
      <c r="A624" s="2">
        <v>623</v>
      </c>
      <c r="B624" s="4">
        <f t="shared" si="46"/>
        <v>2023</v>
      </c>
      <c r="C624" s="4">
        <f t="shared" si="47"/>
        <v>3</v>
      </c>
      <c r="D624" s="4">
        <f t="shared" si="48"/>
        <v>10</v>
      </c>
      <c r="E624" s="4" t="str">
        <f t="shared" si="49"/>
        <v>Friday</v>
      </c>
      <c r="F624" s="4" t="str">
        <f t="shared" si="50"/>
        <v>March</v>
      </c>
      <c r="G624" s="3">
        <v>44995</v>
      </c>
      <c r="H624" s="4" t="s">
        <v>655</v>
      </c>
      <c r="I624" s="4" t="s">
        <v>19</v>
      </c>
      <c r="J624" s="4" t="str" cm="1">
        <f t="array" ref="J624">_xlfn.IFS(K624&lt;30,"Young Adult",K624&lt;50,"Adult",K624&gt;=50,"Senior")</f>
        <v>Adult</v>
      </c>
      <c r="K624" s="4">
        <v>34</v>
      </c>
      <c r="L624" s="4" t="s">
        <v>23</v>
      </c>
      <c r="M624" s="4">
        <v>3</v>
      </c>
      <c r="N624" s="16">
        <v>50</v>
      </c>
      <c r="O624" s="17">
        <f>M624*N624</f>
        <v>150</v>
      </c>
      <c r="P624" s="13">
        <f>$O624*$U$4</f>
        <v>2.25</v>
      </c>
      <c r="Q624" s="13">
        <f>$O624*$U$5</f>
        <v>3</v>
      </c>
      <c r="R624" s="13" cm="1">
        <f t="array" ref="R624">_xlfn.IFS(B624=2023,O624*$U$4,B624=2024,O624*$U$5)</f>
        <v>2.25</v>
      </c>
    </row>
    <row r="625" spans="1:18">
      <c r="A625" s="2">
        <v>624</v>
      </c>
      <c r="B625" s="4">
        <f t="shared" si="46"/>
        <v>2023</v>
      </c>
      <c r="C625" s="4">
        <f t="shared" si="47"/>
        <v>8</v>
      </c>
      <c r="D625" s="4">
        <f t="shared" si="48"/>
        <v>26</v>
      </c>
      <c r="E625" s="4" t="str">
        <f t="shared" si="49"/>
        <v>Saturday</v>
      </c>
      <c r="F625" s="4" t="str">
        <f t="shared" si="50"/>
        <v>August</v>
      </c>
      <c r="G625" s="3">
        <v>45164</v>
      </c>
      <c r="H625" s="4" t="s">
        <v>656</v>
      </c>
      <c r="I625" s="4" t="s">
        <v>22</v>
      </c>
      <c r="J625" s="4" t="str" cm="1">
        <f t="array" ref="J625">_xlfn.IFS(K625&lt;30,"Young Adult",K625&lt;50,"Adult",K625&gt;=50,"Senior")</f>
        <v>Adult</v>
      </c>
      <c r="K625" s="4">
        <v>34</v>
      </c>
      <c r="L625" s="4" t="s">
        <v>20</v>
      </c>
      <c r="M625" s="4">
        <v>3</v>
      </c>
      <c r="N625" s="16">
        <v>300</v>
      </c>
      <c r="O625" s="17">
        <f>M625*N625</f>
        <v>900</v>
      </c>
      <c r="P625" s="13">
        <f>$O625*$U$4</f>
        <v>13.5</v>
      </c>
      <c r="Q625" s="13">
        <f>$O625*$U$5</f>
        <v>18</v>
      </c>
      <c r="R625" s="13" cm="1">
        <f t="array" ref="R625">_xlfn.IFS(B625=2023,O625*$U$4,B625=2024,O625*$U$5)</f>
        <v>13.5</v>
      </c>
    </row>
    <row r="626" spans="1:18">
      <c r="A626" s="2">
        <v>625</v>
      </c>
      <c r="B626" s="4">
        <f t="shared" si="46"/>
        <v>2023</v>
      </c>
      <c r="C626" s="4">
        <f t="shared" si="47"/>
        <v>12</v>
      </c>
      <c r="D626" s="4">
        <f t="shared" si="48"/>
        <v>8</v>
      </c>
      <c r="E626" s="4" t="str">
        <f t="shared" si="49"/>
        <v>Friday</v>
      </c>
      <c r="F626" s="4" t="str">
        <f t="shared" si="50"/>
        <v>December</v>
      </c>
      <c r="G626" s="3">
        <v>45268</v>
      </c>
      <c r="H626" s="4" t="s">
        <v>657</v>
      </c>
      <c r="I626" s="4" t="s">
        <v>19</v>
      </c>
      <c r="J626" s="4" t="str" cm="1">
        <f t="array" ref="J626">_xlfn.IFS(K626&lt;30,"Young Adult",K626&lt;50,"Adult",K626&gt;=50,"Senior")</f>
        <v>Adult</v>
      </c>
      <c r="K626" s="4">
        <v>31</v>
      </c>
      <c r="L626" s="4" t="s">
        <v>23</v>
      </c>
      <c r="M626" s="4">
        <v>1</v>
      </c>
      <c r="N626" s="16">
        <v>300</v>
      </c>
      <c r="O626" s="17">
        <f>M626*N626</f>
        <v>300</v>
      </c>
      <c r="P626" s="13">
        <f>$O626*$U$4</f>
        <v>4.5</v>
      </c>
      <c r="Q626" s="13">
        <f>$O626*$U$5</f>
        <v>6</v>
      </c>
      <c r="R626" s="13" cm="1">
        <f t="array" ref="R626">_xlfn.IFS(B626=2023,O626*$U$4,B626=2024,O626*$U$5)</f>
        <v>4.5</v>
      </c>
    </row>
    <row r="627" spans="1:18">
      <c r="A627" s="2">
        <v>626</v>
      </c>
      <c r="B627" s="4">
        <f t="shared" si="46"/>
        <v>2023</v>
      </c>
      <c r="C627" s="4">
        <f t="shared" si="47"/>
        <v>9</v>
      </c>
      <c r="D627" s="4">
        <f t="shared" si="48"/>
        <v>29</v>
      </c>
      <c r="E627" s="4" t="str">
        <f t="shared" si="49"/>
        <v>Friday</v>
      </c>
      <c r="F627" s="4" t="str">
        <f t="shared" si="50"/>
        <v>September</v>
      </c>
      <c r="G627" s="3">
        <v>45198</v>
      </c>
      <c r="H627" s="4" t="s">
        <v>658</v>
      </c>
      <c r="I627" s="4" t="s">
        <v>22</v>
      </c>
      <c r="J627" s="4" t="str" cm="1">
        <f t="array" ref="J627">_xlfn.IFS(K627&lt;30,"Young Adult",K627&lt;50,"Adult",K627&gt;=50,"Senior")</f>
        <v>Young Adult</v>
      </c>
      <c r="K627" s="4">
        <v>26</v>
      </c>
      <c r="L627" s="4" t="s">
        <v>23</v>
      </c>
      <c r="M627" s="4">
        <v>4</v>
      </c>
      <c r="N627" s="16">
        <v>500</v>
      </c>
      <c r="O627" s="17">
        <f>M627*N627</f>
        <v>2000</v>
      </c>
      <c r="P627" s="13">
        <f>$O627*$U$4</f>
        <v>30</v>
      </c>
      <c r="Q627" s="13">
        <f>$O627*$U$5</f>
        <v>40</v>
      </c>
      <c r="R627" s="13" cm="1">
        <f t="array" ref="R627">_xlfn.IFS(B627=2023,O627*$U$4,B627=2024,O627*$U$5)</f>
        <v>30</v>
      </c>
    </row>
    <row r="628" spans="1:18">
      <c r="A628" s="2">
        <v>627</v>
      </c>
      <c r="B628" s="4">
        <f t="shared" si="46"/>
        <v>2023</v>
      </c>
      <c r="C628" s="4">
        <f t="shared" si="47"/>
        <v>10</v>
      </c>
      <c r="D628" s="4">
        <f t="shared" si="48"/>
        <v>14</v>
      </c>
      <c r="E628" s="4" t="str">
        <f t="shared" si="49"/>
        <v>Saturday</v>
      </c>
      <c r="F628" s="4" t="str">
        <f t="shared" si="50"/>
        <v>October</v>
      </c>
      <c r="G628" s="3">
        <v>45213</v>
      </c>
      <c r="H628" s="4" t="s">
        <v>659</v>
      </c>
      <c r="I628" s="4" t="s">
        <v>19</v>
      </c>
      <c r="J628" s="4" t="str" cm="1">
        <f t="array" ref="J628">_xlfn.IFS(K628&lt;30,"Young Adult",K628&lt;50,"Adult",K628&gt;=50,"Senior")</f>
        <v>Senior</v>
      </c>
      <c r="K628" s="4">
        <v>57</v>
      </c>
      <c r="L628" s="4" t="s">
        <v>23</v>
      </c>
      <c r="M628" s="4">
        <v>1</v>
      </c>
      <c r="N628" s="16">
        <v>50</v>
      </c>
      <c r="O628" s="17">
        <f>M628*N628</f>
        <v>50</v>
      </c>
      <c r="P628" s="13">
        <f>$O628*$U$4</f>
        <v>0.75</v>
      </c>
      <c r="Q628" s="13">
        <f>$O628*$U$5</f>
        <v>1</v>
      </c>
      <c r="R628" s="13" cm="1">
        <f t="array" ref="R628">_xlfn.IFS(B628=2023,O628*$U$4,B628=2024,O628*$U$5)</f>
        <v>0.75</v>
      </c>
    </row>
    <row r="629" spans="1:18">
      <c r="A629" s="2">
        <v>628</v>
      </c>
      <c r="B629" s="4">
        <f t="shared" si="46"/>
        <v>2023</v>
      </c>
      <c r="C629" s="4">
        <f t="shared" si="47"/>
        <v>11</v>
      </c>
      <c r="D629" s="4">
        <f t="shared" si="48"/>
        <v>1</v>
      </c>
      <c r="E629" s="4" t="str">
        <f t="shared" si="49"/>
        <v>Wednesday</v>
      </c>
      <c r="F629" s="4" t="str">
        <f t="shared" si="50"/>
        <v>November</v>
      </c>
      <c r="G629" s="3">
        <v>45231</v>
      </c>
      <c r="H629" s="4" t="s">
        <v>660</v>
      </c>
      <c r="I629" s="4" t="s">
        <v>22</v>
      </c>
      <c r="J629" s="4" t="str" cm="1">
        <f t="array" ref="J629">_xlfn.IFS(K629&lt;30,"Young Adult",K629&lt;50,"Adult",K629&gt;=50,"Senior")</f>
        <v>Young Adult</v>
      </c>
      <c r="K629" s="4">
        <v>19</v>
      </c>
      <c r="L629" s="4" t="s">
        <v>20</v>
      </c>
      <c r="M629" s="4">
        <v>4</v>
      </c>
      <c r="N629" s="16">
        <v>50</v>
      </c>
      <c r="O629" s="17">
        <f>M629*N629</f>
        <v>200</v>
      </c>
      <c r="P629" s="13">
        <f>$O629*$U$4</f>
        <v>3</v>
      </c>
      <c r="Q629" s="13">
        <f>$O629*$U$5</f>
        <v>4</v>
      </c>
      <c r="R629" s="13" cm="1">
        <f t="array" ref="R629">_xlfn.IFS(B629=2023,O629*$U$4,B629=2024,O629*$U$5)</f>
        <v>3</v>
      </c>
    </row>
    <row r="630" spans="1:18">
      <c r="A630" s="2">
        <v>629</v>
      </c>
      <c r="B630" s="4">
        <f t="shared" si="46"/>
        <v>2023</v>
      </c>
      <c r="C630" s="4">
        <f t="shared" si="47"/>
        <v>6</v>
      </c>
      <c r="D630" s="4">
        <f t="shared" si="48"/>
        <v>12</v>
      </c>
      <c r="E630" s="4" t="str">
        <f t="shared" si="49"/>
        <v>Monday</v>
      </c>
      <c r="F630" s="4" t="str">
        <f t="shared" si="50"/>
        <v>June</v>
      </c>
      <c r="G630" s="3">
        <v>45089</v>
      </c>
      <c r="H630" s="4" t="s">
        <v>661</v>
      </c>
      <c r="I630" s="4" t="s">
        <v>19</v>
      </c>
      <c r="J630" s="4" t="str" cm="1">
        <f t="array" ref="J630">_xlfn.IFS(K630&lt;30,"Young Adult",K630&lt;50,"Adult",K630&gt;=50,"Senior")</f>
        <v>Senior</v>
      </c>
      <c r="K630" s="4">
        <v>62</v>
      </c>
      <c r="L630" s="4" t="s">
        <v>26</v>
      </c>
      <c r="M630" s="4">
        <v>2</v>
      </c>
      <c r="N630" s="16">
        <v>25</v>
      </c>
      <c r="O630" s="17">
        <f>M630*N630</f>
        <v>50</v>
      </c>
      <c r="P630" s="13">
        <f>$O630*$U$4</f>
        <v>0.75</v>
      </c>
      <c r="Q630" s="13">
        <f>$O630*$U$5</f>
        <v>1</v>
      </c>
      <c r="R630" s="13" cm="1">
        <f t="array" ref="R630">_xlfn.IFS(B630=2023,O630*$U$4,B630=2024,O630*$U$5)</f>
        <v>0.75</v>
      </c>
    </row>
    <row r="631" spans="1:18">
      <c r="A631" s="2">
        <v>630</v>
      </c>
      <c r="B631" s="4">
        <f t="shared" si="46"/>
        <v>2023</v>
      </c>
      <c r="C631" s="4">
        <f t="shared" si="47"/>
        <v>8</v>
      </c>
      <c r="D631" s="4">
        <f t="shared" si="48"/>
        <v>15</v>
      </c>
      <c r="E631" s="4" t="str">
        <f t="shared" si="49"/>
        <v>Tuesday</v>
      </c>
      <c r="F631" s="4" t="str">
        <f t="shared" si="50"/>
        <v>August</v>
      </c>
      <c r="G631" s="3">
        <v>45153</v>
      </c>
      <c r="H631" s="4" t="s">
        <v>662</v>
      </c>
      <c r="I631" s="4" t="s">
        <v>19</v>
      </c>
      <c r="J631" s="4" t="str" cm="1">
        <f t="array" ref="J631">_xlfn.IFS(K631&lt;30,"Young Adult",K631&lt;50,"Adult",K631&gt;=50,"Senior")</f>
        <v>Adult</v>
      </c>
      <c r="K631" s="4">
        <v>42</v>
      </c>
      <c r="L631" s="4" t="s">
        <v>23</v>
      </c>
      <c r="M631" s="4">
        <v>2</v>
      </c>
      <c r="N631" s="16">
        <v>50</v>
      </c>
      <c r="O631" s="17">
        <f>M631*N631</f>
        <v>100</v>
      </c>
      <c r="P631" s="13">
        <f>$O631*$U$4</f>
        <v>1.5</v>
      </c>
      <c r="Q631" s="13">
        <f>$O631*$U$5</f>
        <v>2</v>
      </c>
      <c r="R631" s="13" cm="1">
        <f t="array" ref="R631">_xlfn.IFS(B631=2023,O631*$U$4,B631=2024,O631*$U$5)</f>
        <v>1.5</v>
      </c>
    </row>
    <row r="632" spans="1:18">
      <c r="A632" s="2">
        <v>631</v>
      </c>
      <c r="B632" s="4">
        <f t="shared" si="46"/>
        <v>2023</v>
      </c>
      <c r="C632" s="4">
        <f t="shared" si="47"/>
        <v>11</v>
      </c>
      <c r="D632" s="4">
        <f t="shared" si="48"/>
        <v>10</v>
      </c>
      <c r="E632" s="4" t="str">
        <f t="shared" si="49"/>
        <v>Friday</v>
      </c>
      <c r="F632" s="4" t="str">
        <f t="shared" si="50"/>
        <v>November</v>
      </c>
      <c r="G632" s="3">
        <v>45240</v>
      </c>
      <c r="H632" s="4" t="s">
        <v>663</v>
      </c>
      <c r="I632" s="4" t="s">
        <v>19</v>
      </c>
      <c r="J632" s="4" t="str" cm="1">
        <f t="array" ref="J632">_xlfn.IFS(K632&lt;30,"Young Adult",K632&lt;50,"Adult",K632&gt;=50,"Senior")</f>
        <v>Senior</v>
      </c>
      <c r="K632" s="4">
        <v>56</v>
      </c>
      <c r="L632" s="4" t="s">
        <v>26</v>
      </c>
      <c r="M632" s="4">
        <v>3</v>
      </c>
      <c r="N632" s="16">
        <v>30</v>
      </c>
      <c r="O632" s="17">
        <f>M632*N632</f>
        <v>90</v>
      </c>
      <c r="P632" s="13">
        <f>$O632*$U$4</f>
        <v>1.3499999999999999</v>
      </c>
      <c r="Q632" s="13">
        <f>$O632*$U$5</f>
        <v>1.8</v>
      </c>
      <c r="R632" s="13" cm="1">
        <f t="array" ref="R632">_xlfn.IFS(B632=2023,O632*$U$4,B632=2024,O632*$U$5)</f>
        <v>1.3499999999999999</v>
      </c>
    </row>
    <row r="633" spans="1:18">
      <c r="A633" s="2">
        <v>632</v>
      </c>
      <c r="B633" s="4">
        <f t="shared" si="46"/>
        <v>2023</v>
      </c>
      <c r="C633" s="4">
        <f t="shared" si="47"/>
        <v>9</v>
      </c>
      <c r="D633" s="4">
        <f t="shared" si="48"/>
        <v>16</v>
      </c>
      <c r="E633" s="4" t="str">
        <f t="shared" si="49"/>
        <v>Saturday</v>
      </c>
      <c r="F633" s="4" t="str">
        <f t="shared" si="50"/>
        <v>September</v>
      </c>
      <c r="G633" s="3">
        <v>45185</v>
      </c>
      <c r="H633" s="4" t="s">
        <v>664</v>
      </c>
      <c r="I633" s="4" t="s">
        <v>22</v>
      </c>
      <c r="J633" s="4" t="str" cm="1">
        <f t="array" ref="J633">_xlfn.IFS(K633&lt;30,"Young Adult",K633&lt;50,"Adult",K633&gt;=50,"Senior")</f>
        <v>Young Adult</v>
      </c>
      <c r="K633" s="4">
        <v>26</v>
      </c>
      <c r="L633" s="4" t="s">
        <v>26</v>
      </c>
      <c r="M633" s="4">
        <v>4</v>
      </c>
      <c r="N633" s="16">
        <v>25</v>
      </c>
      <c r="O633" s="17">
        <f>M633*N633</f>
        <v>100</v>
      </c>
      <c r="P633" s="13">
        <f>$O633*$U$4</f>
        <v>1.5</v>
      </c>
      <c r="Q633" s="13">
        <f>$O633*$U$5</f>
        <v>2</v>
      </c>
      <c r="R633" s="13" cm="1">
        <f t="array" ref="R633">_xlfn.IFS(B633=2023,O633*$U$4,B633=2024,O633*$U$5)</f>
        <v>1.5</v>
      </c>
    </row>
    <row r="634" spans="1:18">
      <c r="A634" s="2">
        <v>633</v>
      </c>
      <c r="B634" s="4">
        <f t="shared" si="46"/>
        <v>2023</v>
      </c>
      <c r="C634" s="4">
        <f t="shared" si="47"/>
        <v>8</v>
      </c>
      <c r="D634" s="4">
        <f t="shared" si="48"/>
        <v>7</v>
      </c>
      <c r="E634" s="4" t="str">
        <f t="shared" si="49"/>
        <v>Monday</v>
      </c>
      <c r="F634" s="4" t="str">
        <f t="shared" si="50"/>
        <v>August</v>
      </c>
      <c r="G634" s="3">
        <v>45145</v>
      </c>
      <c r="H634" s="4" t="s">
        <v>665</v>
      </c>
      <c r="I634" s="4" t="s">
        <v>19</v>
      </c>
      <c r="J634" s="4" t="str" cm="1">
        <f t="array" ref="J634">_xlfn.IFS(K634&lt;30,"Young Adult",K634&lt;50,"Adult",K634&gt;=50,"Senior")</f>
        <v>Adult</v>
      </c>
      <c r="K634" s="4">
        <v>39</v>
      </c>
      <c r="L634" s="4" t="s">
        <v>20</v>
      </c>
      <c r="M634" s="4">
        <v>4</v>
      </c>
      <c r="N634" s="16">
        <v>30</v>
      </c>
      <c r="O634" s="17">
        <f>M634*N634</f>
        <v>120</v>
      </c>
      <c r="P634" s="13">
        <f>$O634*$U$4</f>
        <v>1.7999999999999998</v>
      </c>
      <c r="Q634" s="13">
        <f>$O634*$U$5</f>
        <v>2.4</v>
      </c>
      <c r="R634" s="13" cm="1">
        <f t="array" ref="R634">_xlfn.IFS(B634=2023,O634*$U$4,B634=2024,O634*$U$5)</f>
        <v>1.7999999999999998</v>
      </c>
    </row>
    <row r="635" spans="1:18">
      <c r="A635" s="2">
        <v>634</v>
      </c>
      <c r="B635" s="4">
        <f t="shared" si="46"/>
        <v>2023</v>
      </c>
      <c r="C635" s="4">
        <f t="shared" si="47"/>
        <v>10</v>
      </c>
      <c r="D635" s="4">
        <f t="shared" si="48"/>
        <v>8</v>
      </c>
      <c r="E635" s="4" t="str">
        <f t="shared" si="49"/>
        <v>Sunday</v>
      </c>
      <c r="F635" s="4" t="str">
        <f t="shared" si="50"/>
        <v>October</v>
      </c>
      <c r="G635" s="3">
        <v>45207</v>
      </c>
      <c r="H635" s="4" t="s">
        <v>666</v>
      </c>
      <c r="I635" s="4" t="s">
        <v>19</v>
      </c>
      <c r="J635" s="4" t="str" cm="1">
        <f t="array" ref="J635">_xlfn.IFS(K635&lt;30,"Young Adult",K635&lt;50,"Adult",K635&gt;=50,"Senior")</f>
        <v>Senior</v>
      </c>
      <c r="K635" s="4">
        <v>60</v>
      </c>
      <c r="L635" s="4" t="s">
        <v>26</v>
      </c>
      <c r="M635" s="4">
        <v>4</v>
      </c>
      <c r="N635" s="16">
        <v>500</v>
      </c>
      <c r="O635" s="17">
        <f>M635*N635</f>
        <v>2000</v>
      </c>
      <c r="P635" s="13">
        <f>$O635*$U$4</f>
        <v>30</v>
      </c>
      <c r="Q635" s="13">
        <f>$O635*$U$5</f>
        <v>40</v>
      </c>
      <c r="R635" s="13" cm="1">
        <f t="array" ref="R635">_xlfn.IFS(B635=2023,O635*$U$4,B635=2024,O635*$U$5)</f>
        <v>30</v>
      </c>
    </row>
    <row r="636" spans="1:18">
      <c r="A636" s="2">
        <v>635</v>
      </c>
      <c r="B636" s="4">
        <f t="shared" si="46"/>
        <v>2023</v>
      </c>
      <c r="C636" s="4">
        <f t="shared" si="47"/>
        <v>8</v>
      </c>
      <c r="D636" s="4">
        <f t="shared" si="48"/>
        <v>17</v>
      </c>
      <c r="E636" s="4" t="str">
        <f t="shared" si="49"/>
        <v>Thursday</v>
      </c>
      <c r="F636" s="4" t="str">
        <f t="shared" si="50"/>
        <v>August</v>
      </c>
      <c r="G636" s="3">
        <v>45155</v>
      </c>
      <c r="H636" s="4" t="s">
        <v>667</v>
      </c>
      <c r="I636" s="4" t="s">
        <v>22</v>
      </c>
      <c r="J636" s="4" t="str" cm="1">
        <f t="array" ref="J636">_xlfn.IFS(K636&lt;30,"Young Adult",K636&lt;50,"Adult",K636&gt;=50,"Senior")</f>
        <v>Senior</v>
      </c>
      <c r="K636" s="4">
        <v>63</v>
      </c>
      <c r="L636" s="4" t="s">
        <v>26</v>
      </c>
      <c r="M636" s="4">
        <v>3</v>
      </c>
      <c r="N636" s="16">
        <v>300</v>
      </c>
      <c r="O636" s="17">
        <f>M636*N636</f>
        <v>900</v>
      </c>
      <c r="P636" s="13">
        <f>$O636*$U$4</f>
        <v>13.5</v>
      </c>
      <c r="Q636" s="13">
        <f>$O636*$U$5</f>
        <v>18</v>
      </c>
      <c r="R636" s="13" cm="1">
        <f t="array" ref="R636">_xlfn.IFS(B636=2023,O636*$U$4,B636=2024,O636*$U$5)</f>
        <v>13.5</v>
      </c>
    </row>
    <row r="637" spans="1:18">
      <c r="A637" s="2">
        <v>636</v>
      </c>
      <c r="B637" s="4">
        <f t="shared" si="46"/>
        <v>2023</v>
      </c>
      <c r="C637" s="4">
        <f t="shared" si="47"/>
        <v>3</v>
      </c>
      <c r="D637" s="4">
        <f t="shared" si="48"/>
        <v>23</v>
      </c>
      <c r="E637" s="4" t="str">
        <f t="shared" si="49"/>
        <v>Thursday</v>
      </c>
      <c r="F637" s="4" t="str">
        <f t="shared" si="50"/>
        <v>March</v>
      </c>
      <c r="G637" s="3">
        <v>45008</v>
      </c>
      <c r="H637" s="4" t="s">
        <v>668</v>
      </c>
      <c r="I637" s="4" t="s">
        <v>22</v>
      </c>
      <c r="J637" s="4" t="str" cm="1">
        <f t="array" ref="J637">_xlfn.IFS(K637&lt;30,"Young Adult",K637&lt;50,"Adult",K637&gt;=50,"Senior")</f>
        <v>Young Adult</v>
      </c>
      <c r="K637" s="4">
        <v>21</v>
      </c>
      <c r="L637" s="4" t="s">
        <v>20</v>
      </c>
      <c r="M637" s="4">
        <v>3</v>
      </c>
      <c r="N637" s="16">
        <v>500</v>
      </c>
      <c r="O637" s="17">
        <f>M637*N637</f>
        <v>1500</v>
      </c>
      <c r="P637" s="13">
        <f>$O637*$U$4</f>
        <v>22.5</v>
      </c>
      <c r="Q637" s="13">
        <f>$O637*$U$5</f>
        <v>30</v>
      </c>
      <c r="R637" s="13" cm="1">
        <f t="array" ref="R637">_xlfn.IFS(B637=2023,O637*$U$4,B637=2024,O637*$U$5)</f>
        <v>22.5</v>
      </c>
    </row>
    <row r="638" spans="1:18">
      <c r="A638" s="2">
        <v>637</v>
      </c>
      <c r="B638" s="4">
        <f t="shared" si="46"/>
        <v>2023</v>
      </c>
      <c r="C638" s="4">
        <f t="shared" si="47"/>
        <v>9</v>
      </c>
      <c r="D638" s="4">
        <f t="shared" si="48"/>
        <v>1</v>
      </c>
      <c r="E638" s="4" t="str">
        <f t="shared" si="49"/>
        <v>Friday</v>
      </c>
      <c r="F638" s="4" t="str">
        <f t="shared" si="50"/>
        <v>September</v>
      </c>
      <c r="G638" s="3">
        <v>45170</v>
      </c>
      <c r="H638" s="4" t="s">
        <v>669</v>
      </c>
      <c r="I638" s="4" t="s">
        <v>19</v>
      </c>
      <c r="J638" s="4" t="str" cm="1">
        <f t="array" ref="J638">_xlfn.IFS(K638&lt;30,"Young Adult",K638&lt;50,"Adult",K638&gt;=50,"Senior")</f>
        <v>Adult</v>
      </c>
      <c r="K638" s="4">
        <v>43</v>
      </c>
      <c r="L638" s="4" t="s">
        <v>23</v>
      </c>
      <c r="M638" s="4">
        <v>2</v>
      </c>
      <c r="N638" s="16">
        <v>300</v>
      </c>
      <c r="O638" s="17">
        <f>M638*N638</f>
        <v>600</v>
      </c>
      <c r="P638" s="13">
        <f>$O638*$U$4</f>
        <v>9</v>
      </c>
      <c r="Q638" s="13">
        <f>$O638*$U$5</f>
        <v>12</v>
      </c>
      <c r="R638" s="13" cm="1">
        <f t="array" ref="R638">_xlfn.IFS(B638=2023,O638*$U$4,B638=2024,O638*$U$5)</f>
        <v>9</v>
      </c>
    </row>
    <row r="639" spans="1:18">
      <c r="A639" s="2">
        <v>638</v>
      </c>
      <c r="B639" s="4">
        <f t="shared" si="46"/>
        <v>2023</v>
      </c>
      <c r="C639" s="4">
        <f t="shared" si="47"/>
        <v>8</v>
      </c>
      <c r="D639" s="4">
        <f t="shared" si="48"/>
        <v>19</v>
      </c>
      <c r="E639" s="4" t="str">
        <f t="shared" si="49"/>
        <v>Saturday</v>
      </c>
      <c r="F639" s="4" t="str">
        <f t="shared" si="50"/>
        <v>August</v>
      </c>
      <c r="G639" s="3">
        <v>45157</v>
      </c>
      <c r="H639" s="4" t="s">
        <v>670</v>
      </c>
      <c r="I639" s="4" t="s">
        <v>19</v>
      </c>
      <c r="J639" s="4" t="str" cm="1">
        <f t="array" ref="J639">_xlfn.IFS(K639&lt;30,"Young Adult",K639&lt;50,"Adult",K639&gt;=50,"Senior")</f>
        <v>Adult</v>
      </c>
      <c r="K639" s="4">
        <v>46</v>
      </c>
      <c r="L639" s="4" t="s">
        <v>26</v>
      </c>
      <c r="M639" s="4">
        <v>1</v>
      </c>
      <c r="N639" s="16">
        <v>500</v>
      </c>
      <c r="O639" s="17">
        <f>M639*N639</f>
        <v>500</v>
      </c>
      <c r="P639" s="13">
        <f>$O639*$U$4</f>
        <v>7.5</v>
      </c>
      <c r="Q639" s="13">
        <f>$O639*$U$5</f>
        <v>10</v>
      </c>
      <c r="R639" s="13" cm="1">
        <f t="array" ref="R639">_xlfn.IFS(B639=2023,O639*$U$4,B639=2024,O639*$U$5)</f>
        <v>7.5</v>
      </c>
    </row>
    <row r="640" spans="1:18">
      <c r="A640" s="2">
        <v>639</v>
      </c>
      <c r="B640" s="4">
        <f t="shared" si="46"/>
        <v>2023</v>
      </c>
      <c r="C640" s="4">
        <f t="shared" si="47"/>
        <v>5</v>
      </c>
      <c r="D640" s="4">
        <f t="shared" si="48"/>
        <v>13</v>
      </c>
      <c r="E640" s="4" t="str">
        <f t="shared" si="49"/>
        <v>Saturday</v>
      </c>
      <c r="F640" s="4" t="str">
        <f t="shared" si="50"/>
        <v>May</v>
      </c>
      <c r="G640" s="3">
        <v>45059</v>
      </c>
      <c r="H640" s="4" t="s">
        <v>671</v>
      </c>
      <c r="I640" s="4" t="s">
        <v>22</v>
      </c>
      <c r="J640" s="4" t="str" cm="1">
        <f t="array" ref="J640">_xlfn.IFS(K640&lt;30,"Young Adult",K640&lt;50,"Adult",K640&gt;=50,"Senior")</f>
        <v>Senior</v>
      </c>
      <c r="K640" s="4">
        <v>62</v>
      </c>
      <c r="L640" s="4" t="s">
        <v>20</v>
      </c>
      <c r="M640" s="4">
        <v>4</v>
      </c>
      <c r="N640" s="16">
        <v>50</v>
      </c>
      <c r="O640" s="17">
        <f>M640*N640</f>
        <v>200</v>
      </c>
      <c r="P640" s="13">
        <f>$O640*$U$4</f>
        <v>3</v>
      </c>
      <c r="Q640" s="13">
        <f>$O640*$U$5</f>
        <v>4</v>
      </c>
      <c r="R640" s="13" cm="1">
        <f t="array" ref="R640">_xlfn.IFS(B640=2023,O640*$U$4,B640=2024,O640*$U$5)</f>
        <v>3</v>
      </c>
    </row>
    <row r="641" spans="1:18">
      <c r="A641" s="2">
        <v>640</v>
      </c>
      <c r="B641" s="4">
        <f t="shared" si="46"/>
        <v>2023</v>
      </c>
      <c r="C641" s="4">
        <f t="shared" si="47"/>
        <v>5</v>
      </c>
      <c r="D641" s="4">
        <f t="shared" si="48"/>
        <v>7</v>
      </c>
      <c r="E641" s="4" t="str">
        <f t="shared" si="49"/>
        <v>Sunday</v>
      </c>
      <c r="F641" s="4" t="str">
        <f t="shared" si="50"/>
        <v>May</v>
      </c>
      <c r="G641" s="3">
        <v>45053</v>
      </c>
      <c r="H641" s="4" t="s">
        <v>672</v>
      </c>
      <c r="I641" s="4" t="s">
        <v>22</v>
      </c>
      <c r="J641" s="4" t="str" cm="1">
        <f t="array" ref="J641">_xlfn.IFS(K641&lt;30,"Young Adult",K641&lt;50,"Adult",K641&gt;=50,"Senior")</f>
        <v>Senior</v>
      </c>
      <c r="K641" s="4">
        <v>51</v>
      </c>
      <c r="L641" s="4" t="s">
        <v>26</v>
      </c>
      <c r="M641" s="4">
        <v>4</v>
      </c>
      <c r="N641" s="16">
        <v>30</v>
      </c>
      <c r="O641" s="17">
        <f>M641*N641</f>
        <v>120</v>
      </c>
      <c r="P641" s="13">
        <f>$O641*$U$4</f>
        <v>1.7999999999999998</v>
      </c>
      <c r="Q641" s="13">
        <f>$O641*$U$5</f>
        <v>2.4</v>
      </c>
      <c r="R641" s="13" cm="1">
        <f t="array" ref="R641">_xlfn.IFS(B641=2023,O641*$U$4,B641=2024,O641*$U$5)</f>
        <v>1.7999999999999998</v>
      </c>
    </row>
    <row r="642" spans="1:18">
      <c r="A642" s="2">
        <v>641</v>
      </c>
      <c r="B642" s="4">
        <f t="shared" si="46"/>
        <v>2023</v>
      </c>
      <c r="C642" s="4">
        <f t="shared" si="47"/>
        <v>11</v>
      </c>
      <c r="D642" s="4">
        <f t="shared" si="48"/>
        <v>23</v>
      </c>
      <c r="E642" s="4" t="str">
        <f t="shared" si="49"/>
        <v>Thursday</v>
      </c>
      <c r="F642" s="4" t="str">
        <f t="shared" si="50"/>
        <v>November</v>
      </c>
      <c r="G642" s="3">
        <v>45253</v>
      </c>
      <c r="H642" s="4" t="s">
        <v>673</v>
      </c>
      <c r="I642" s="4" t="s">
        <v>22</v>
      </c>
      <c r="J642" s="4" t="str" cm="1">
        <f t="array" ref="J642">_xlfn.IFS(K642&lt;30,"Young Adult",K642&lt;50,"Adult",K642&gt;=50,"Senior")</f>
        <v>Adult</v>
      </c>
      <c r="K642" s="4">
        <v>40</v>
      </c>
      <c r="L642" s="4" t="s">
        <v>26</v>
      </c>
      <c r="M642" s="4">
        <v>1</v>
      </c>
      <c r="N642" s="16">
        <v>300</v>
      </c>
      <c r="O642" s="17">
        <f>M642*N642</f>
        <v>300</v>
      </c>
      <c r="P642" s="13">
        <f>$O642*$U$4</f>
        <v>4.5</v>
      </c>
      <c r="Q642" s="13">
        <f>$O642*$U$5</f>
        <v>6</v>
      </c>
      <c r="R642" s="13" cm="1">
        <f t="array" ref="R642">_xlfn.IFS(B642=2023,O642*$U$4,B642=2024,O642*$U$5)</f>
        <v>4.5</v>
      </c>
    </row>
    <row r="643" spans="1:18">
      <c r="A643" s="2">
        <v>642</v>
      </c>
      <c r="B643" s="4">
        <f t="shared" ref="B643:B706" si="51">YEAR(G643)</f>
        <v>2023</v>
      </c>
      <c r="C643" s="4">
        <f t="shared" ref="C643:C706" si="52">MONTH(G643)</f>
        <v>5</v>
      </c>
      <c r="D643" s="4">
        <f t="shared" ref="D643:D706" si="53">DAY(G643)</f>
        <v>22</v>
      </c>
      <c r="E643" s="4" t="str">
        <f t="shared" ref="E643:E706" si="54">TEXT(G643,"dddd")</f>
        <v>Monday</v>
      </c>
      <c r="F643" s="4" t="str">
        <f t="shared" ref="F643:F706" si="55">TEXT(G643,"mmmm")</f>
        <v>May</v>
      </c>
      <c r="G643" s="3">
        <v>45068</v>
      </c>
      <c r="H643" s="4" t="s">
        <v>674</v>
      </c>
      <c r="I643" s="4" t="s">
        <v>22</v>
      </c>
      <c r="J643" s="4" t="str" cm="1">
        <f t="array" ref="J643">_xlfn.IFS(K643&lt;30,"Young Adult",K643&lt;50,"Adult",K643&gt;=50,"Senior")</f>
        <v>Senior</v>
      </c>
      <c r="K643" s="4">
        <v>54</v>
      </c>
      <c r="L643" s="4" t="s">
        <v>23</v>
      </c>
      <c r="M643" s="4">
        <v>4</v>
      </c>
      <c r="N643" s="16">
        <v>25</v>
      </c>
      <c r="O643" s="17">
        <f>M643*N643</f>
        <v>100</v>
      </c>
      <c r="P643" s="13">
        <f>$O643*$U$4</f>
        <v>1.5</v>
      </c>
      <c r="Q643" s="13">
        <f>$O643*$U$5</f>
        <v>2</v>
      </c>
      <c r="R643" s="13" cm="1">
        <f t="array" ref="R643">_xlfn.IFS(B643=2023,O643*$U$4,B643=2024,O643*$U$5)</f>
        <v>1.5</v>
      </c>
    </row>
    <row r="644" spans="1:18">
      <c r="A644" s="2">
        <v>643</v>
      </c>
      <c r="B644" s="4">
        <f t="shared" si="51"/>
        <v>2023</v>
      </c>
      <c r="C644" s="4">
        <f t="shared" si="52"/>
        <v>9</v>
      </c>
      <c r="D644" s="4">
        <f t="shared" si="53"/>
        <v>24</v>
      </c>
      <c r="E644" s="4" t="str">
        <f t="shared" si="54"/>
        <v>Sunday</v>
      </c>
      <c r="F644" s="4" t="str">
        <f t="shared" si="55"/>
        <v>September</v>
      </c>
      <c r="G644" s="3">
        <v>45193</v>
      </c>
      <c r="H644" s="4" t="s">
        <v>675</v>
      </c>
      <c r="I644" s="4" t="s">
        <v>22</v>
      </c>
      <c r="J644" s="4" t="str" cm="1">
        <f t="array" ref="J644">_xlfn.IFS(K644&lt;30,"Young Adult",K644&lt;50,"Adult",K644&gt;=50,"Senior")</f>
        <v>Young Adult</v>
      </c>
      <c r="K644" s="4">
        <v>28</v>
      </c>
      <c r="L644" s="4" t="s">
        <v>26</v>
      </c>
      <c r="M644" s="4">
        <v>3</v>
      </c>
      <c r="N644" s="16">
        <v>30</v>
      </c>
      <c r="O644" s="17">
        <f>M644*N644</f>
        <v>90</v>
      </c>
      <c r="P644" s="13">
        <f>$O644*$U$4</f>
        <v>1.3499999999999999</v>
      </c>
      <c r="Q644" s="13">
        <f>$O644*$U$5</f>
        <v>1.8</v>
      </c>
      <c r="R644" s="13" cm="1">
        <f t="array" ref="R644">_xlfn.IFS(B644=2023,O644*$U$4,B644=2024,O644*$U$5)</f>
        <v>1.3499999999999999</v>
      </c>
    </row>
    <row r="645" spans="1:18">
      <c r="A645" s="2">
        <v>644</v>
      </c>
      <c r="B645" s="4">
        <f t="shared" si="51"/>
        <v>2023</v>
      </c>
      <c r="C645" s="4">
        <f t="shared" si="52"/>
        <v>9</v>
      </c>
      <c r="D645" s="4">
        <f t="shared" si="53"/>
        <v>6</v>
      </c>
      <c r="E645" s="4" t="str">
        <f t="shared" si="54"/>
        <v>Wednesday</v>
      </c>
      <c r="F645" s="4" t="str">
        <f t="shared" si="55"/>
        <v>September</v>
      </c>
      <c r="G645" s="3">
        <v>45175</v>
      </c>
      <c r="H645" s="4" t="s">
        <v>676</v>
      </c>
      <c r="I645" s="4" t="s">
        <v>19</v>
      </c>
      <c r="J645" s="4" t="str" cm="1">
        <f t="array" ref="J645">_xlfn.IFS(K645&lt;30,"Young Adult",K645&lt;50,"Adult",K645&gt;=50,"Senior")</f>
        <v>Young Adult</v>
      </c>
      <c r="K645" s="4">
        <v>23</v>
      </c>
      <c r="L645" s="4" t="s">
        <v>20</v>
      </c>
      <c r="M645" s="4">
        <v>3</v>
      </c>
      <c r="N645" s="16">
        <v>25</v>
      </c>
      <c r="O645" s="17">
        <f>M645*N645</f>
        <v>75</v>
      </c>
      <c r="P645" s="13">
        <f>$O645*$U$4</f>
        <v>1.125</v>
      </c>
      <c r="Q645" s="13">
        <f>$O645*$U$5</f>
        <v>1.5</v>
      </c>
      <c r="R645" s="13" cm="1">
        <f t="array" ref="R645">_xlfn.IFS(B645=2023,O645*$U$4,B645=2024,O645*$U$5)</f>
        <v>1.125</v>
      </c>
    </row>
    <row r="646" spans="1:18">
      <c r="A646" s="2">
        <v>645</v>
      </c>
      <c r="B646" s="4">
        <f t="shared" si="51"/>
        <v>2023</v>
      </c>
      <c r="C646" s="4">
        <f t="shared" si="52"/>
        <v>11</v>
      </c>
      <c r="D646" s="4">
        <f t="shared" si="53"/>
        <v>17</v>
      </c>
      <c r="E646" s="4" t="str">
        <f t="shared" si="54"/>
        <v>Friday</v>
      </c>
      <c r="F646" s="4" t="str">
        <f t="shared" si="55"/>
        <v>November</v>
      </c>
      <c r="G646" s="3">
        <v>45247</v>
      </c>
      <c r="H646" s="4" t="s">
        <v>677</v>
      </c>
      <c r="I646" s="4" t="s">
        <v>22</v>
      </c>
      <c r="J646" s="4" t="str" cm="1">
        <f t="array" ref="J646">_xlfn.IFS(K646&lt;30,"Young Adult",K646&lt;50,"Adult",K646&gt;=50,"Senior")</f>
        <v>Adult</v>
      </c>
      <c r="K646" s="4">
        <v>35</v>
      </c>
      <c r="L646" s="4" t="s">
        <v>26</v>
      </c>
      <c r="M646" s="4">
        <v>4</v>
      </c>
      <c r="N646" s="16">
        <v>30</v>
      </c>
      <c r="O646" s="17">
        <f>M646*N646</f>
        <v>120</v>
      </c>
      <c r="P646" s="13">
        <f>$O646*$U$4</f>
        <v>1.7999999999999998</v>
      </c>
      <c r="Q646" s="13">
        <f>$O646*$U$5</f>
        <v>2.4</v>
      </c>
      <c r="R646" s="13" cm="1">
        <f t="array" ref="R646">_xlfn.IFS(B646=2023,O646*$U$4,B646=2024,O646*$U$5)</f>
        <v>1.7999999999999998</v>
      </c>
    </row>
    <row r="647" spans="1:18">
      <c r="A647" s="2">
        <v>646</v>
      </c>
      <c r="B647" s="4">
        <f t="shared" si="51"/>
        <v>2023</v>
      </c>
      <c r="C647" s="4">
        <f t="shared" si="52"/>
        <v>5</v>
      </c>
      <c r="D647" s="4">
        <f t="shared" si="53"/>
        <v>3</v>
      </c>
      <c r="E647" s="4" t="str">
        <f t="shared" si="54"/>
        <v>Wednesday</v>
      </c>
      <c r="F647" s="4" t="str">
        <f t="shared" si="55"/>
        <v>May</v>
      </c>
      <c r="G647" s="3">
        <v>45049</v>
      </c>
      <c r="H647" s="4" t="s">
        <v>678</v>
      </c>
      <c r="I647" s="4" t="s">
        <v>19</v>
      </c>
      <c r="J647" s="4" t="str" cm="1">
        <f t="array" ref="J647">_xlfn.IFS(K647&lt;30,"Young Adult",K647&lt;50,"Adult",K647&gt;=50,"Senior")</f>
        <v>Adult</v>
      </c>
      <c r="K647" s="4">
        <v>38</v>
      </c>
      <c r="L647" s="4" t="s">
        <v>23</v>
      </c>
      <c r="M647" s="4">
        <v>3</v>
      </c>
      <c r="N647" s="16">
        <v>30</v>
      </c>
      <c r="O647" s="17">
        <f>M647*N647</f>
        <v>90</v>
      </c>
      <c r="P647" s="13">
        <f>$O647*$U$4</f>
        <v>1.3499999999999999</v>
      </c>
      <c r="Q647" s="13">
        <f>$O647*$U$5</f>
        <v>1.8</v>
      </c>
      <c r="R647" s="13" cm="1">
        <f t="array" ref="R647">_xlfn.IFS(B647=2023,O647*$U$4,B647=2024,O647*$U$5)</f>
        <v>1.3499999999999999</v>
      </c>
    </row>
    <row r="648" spans="1:18">
      <c r="A648" s="2">
        <v>647</v>
      </c>
      <c r="B648" s="4">
        <f t="shared" si="51"/>
        <v>2023</v>
      </c>
      <c r="C648" s="4">
        <f t="shared" si="52"/>
        <v>5</v>
      </c>
      <c r="D648" s="4">
        <f t="shared" si="53"/>
        <v>21</v>
      </c>
      <c r="E648" s="4" t="str">
        <f t="shared" si="54"/>
        <v>Sunday</v>
      </c>
      <c r="F648" s="4" t="str">
        <f t="shared" si="55"/>
        <v>May</v>
      </c>
      <c r="G648" s="3">
        <v>45067</v>
      </c>
      <c r="H648" s="4" t="s">
        <v>679</v>
      </c>
      <c r="I648" s="4" t="s">
        <v>19</v>
      </c>
      <c r="J648" s="4" t="str" cm="1">
        <f t="array" ref="J648">_xlfn.IFS(K648&lt;30,"Young Adult",K648&lt;50,"Adult",K648&gt;=50,"Senior")</f>
        <v>Senior</v>
      </c>
      <c r="K648" s="4">
        <v>59</v>
      </c>
      <c r="L648" s="4" t="s">
        <v>23</v>
      </c>
      <c r="M648" s="4">
        <v>3</v>
      </c>
      <c r="N648" s="16">
        <v>500</v>
      </c>
      <c r="O648" s="17">
        <f>M648*N648</f>
        <v>1500</v>
      </c>
      <c r="P648" s="13">
        <f>$O648*$U$4</f>
        <v>22.5</v>
      </c>
      <c r="Q648" s="13">
        <f>$O648*$U$5</f>
        <v>30</v>
      </c>
      <c r="R648" s="13" cm="1">
        <f t="array" ref="R648">_xlfn.IFS(B648=2023,O648*$U$4,B648=2024,O648*$U$5)</f>
        <v>22.5</v>
      </c>
    </row>
    <row r="649" spans="1:18">
      <c r="A649" s="2">
        <v>648</v>
      </c>
      <c r="B649" s="4">
        <f t="shared" si="51"/>
        <v>2023</v>
      </c>
      <c r="C649" s="4">
        <f t="shared" si="52"/>
        <v>8</v>
      </c>
      <c r="D649" s="4">
        <f t="shared" si="53"/>
        <v>14</v>
      </c>
      <c r="E649" s="4" t="str">
        <f t="shared" si="54"/>
        <v>Monday</v>
      </c>
      <c r="F649" s="4" t="str">
        <f t="shared" si="55"/>
        <v>August</v>
      </c>
      <c r="G649" s="3">
        <v>45152</v>
      </c>
      <c r="H649" s="4" t="s">
        <v>680</v>
      </c>
      <c r="I649" s="4" t="s">
        <v>19</v>
      </c>
      <c r="J649" s="4" t="str" cm="1">
        <f t="array" ref="J649">_xlfn.IFS(K649&lt;30,"Young Adult",K649&lt;50,"Adult",K649&gt;=50,"Senior")</f>
        <v>Senior</v>
      </c>
      <c r="K649" s="4">
        <v>53</v>
      </c>
      <c r="L649" s="4" t="s">
        <v>20</v>
      </c>
      <c r="M649" s="4">
        <v>4</v>
      </c>
      <c r="N649" s="16">
        <v>300</v>
      </c>
      <c r="O649" s="17">
        <f>M649*N649</f>
        <v>1200</v>
      </c>
      <c r="P649" s="13">
        <f>$O649*$U$4</f>
        <v>18</v>
      </c>
      <c r="Q649" s="13">
        <f>$O649*$U$5</f>
        <v>24</v>
      </c>
      <c r="R649" s="13" cm="1">
        <f t="array" ref="R649">_xlfn.IFS(B649=2023,O649*$U$4,B649=2024,O649*$U$5)</f>
        <v>18</v>
      </c>
    </row>
    <row r="650" spans="1:18">
      <c r="A650" s="2">
        <v>649</v>
      </c>
      <c r="B650" s="4">
        <f t="shared" si="51"/>
        <v>2023</v>
      </c>
      <c r="C650" s="4">
        <f t="shared" si="52"/>
        <v>2</v>
      </c>
      <c r="D650" s="4">
        <f t="shared" si="53"/>
        <v>9</v>
      </c>
      <c r="E650" s="4" t="str">
        <f t="shared" si="54"/>
        <v>Thursday</v>
      </c>
      <c r="F650" s="4" t="str">
        <f t="shared" si="55"/>
        <v>February</v>
      </c>
      <c r="G650" s="3">
        <v>44966</v>
      </c>
      <c r="H650" s="4" t="s">
        <v>681</v>
      </c>
      <c r="I650" s="4" t="s">
        <v>22</v>
      </c>
      <c r="J650" s="4" t="str" cm="1">
        <f t="array" ref="J650">_xlfn.IFS(K650&lt;30,"Young Adult",K650&lt;50,"Adult",K650&gt;=50,"Senior")</f>
        <v>Senior</v>
      </c>
      <c r="K650" s="4">
        <v>58</v>
      </c>
      <c r="L650" s="4" t="s">
        <v>23</v>
      </c>
      <c r="M650" s="4">
        <v>2</v>
      </c>
      <c r="N650" s="16">
        <v>300</v>
      </c>
      <c r="O650" s="17">
        <f>M650*N650</f>
        <v>600</v>
      </c>
      <c r="P650" s="13">
        <f>$O650*$U$4</f>
        <v>9</v>
      </c>
      <c r="Q650" s="13">
        <f>$O650*$U$5</f>
        <v>12</v>
      </c>
      <c r="R650" s="13" cm="1">
        <f t="array" ref="R650">_xlfn.IFS(B650=2023,O650*$U$4,B650=2024,O650*$U$5)</f>
        <v>9</v>
      </c>
    </row>
    <row r="651" spans="1:18">
      <c r="A651" s="2">
        <v>650</v>
      </c>
      <c r="B651" s="4">
        <f t="shared" si="51"/>
        <v>2024</v>
      </c>
      <c r="C651" s="4">
        <f t="shared" si="52"/>
        <v>1</v>
      </c>
      <c r="D651" s="4">
        <f t="shared" si="53"/>
        <v>1</v>
      </c>
      <c r="E651" s="4" t="str">
        <f t="shared" si="54"/>
        <v>Monday</v>
      </c>
      <c r="F651" s="4" t="str">
        <f t="shared" si="55"/>
        <v>January</v>
      </c>
      <c r="G651" s="3">
        <v>45292</v>
      </c>
      <c r="H651" s="4" t="s">
        <v>682</v>
      </c>
      <c r="I651" s="4" t="s">
        <v>19</v>
      </c>
      <c r="J651" s="4" t="str" cm="1">
        <f t="array" ref="J651">_xlfn.IFS(K651&lt;30,"Young Adult",K651&lt;50,"Adult",K651&gt;=50,"Senior")</f>
        <v>Senior</v>
      </c>
      <c r="K651" s="4">
        <v>55</v>
      </c>
      <c r="L651" s="4" t="s">
        <v>26</v>
      </c>
      <c r="M651" s="4">
        <v>1</v>
      </c>
      <c r="N651" s="16">
        <v>30</v>
      </c>
      <c r="O651" s="17">
        <f>M651*N651</f>
        <v>30</v>
      </c>
      <c r="P651" s="13">
        <f>$O651*$U$4</f>
        <v>0.44999999999999996</v>
      </c>
      <c r="Q651" s="13">
        <f>$O651*$U$5</f>
        <v>0.6</v>
      </c>
      <c r="R651" s="13" cm="1">
        <f t="array" ref="R651">_xlfn.IFS(B651=2023,O651*$U$4,B651=2024,O651*$U$5)</f>
        <v>0.6</v>
      </c>
    </row>
    <row r="652" spans="1:18">
      <c r="A652" s="2">
        <v>651</v>
      </c>
      <c r="B652" s="4">
        <f t="shared" si="51"/>
        <v>2023</v>
      </c>
      <c r="C652" s="4">
        <f t="shared" si="52"/>
        <v>5</v>
      </c>
      <c r="D652" s="4">
        <f t="shared" si="53"/>
        <v>27</v>
      </c>
      <c r="E652" s="4" t="str">
        <f t="shared" si="54"/>
        <v>Saturday</v>
      </c>
      <c r="F652" s="4" t="str">
        <f t="shared" si="55"/>
        <v>May</v>
      </c>
      <c r="G652" s="3">
        <v>45073</v>
      </c>
      <c r="H652" s="4" t="s">
        <v>683</v>
      </c>
      <c r="I652" s="4" t="s">
        <v>19</v>
      </c>
      <c r="J652" s="4" t="str" cm="1">
        <f t="array" ref="J652">_xlfn.IFS(K652&lt;30,"Young Adult",K652&lt;50,"Adult",K652&gt;=50,"Senior")</f>
        <v>Senior</v>
      </c>
      <c r="K652" s="4">
        <v>51</v>
      </c>
      <c r="L652" s="4" t="s">
        <v>23</v>
      </c>
      <c r="M652" s="4">
        <v>3</v>
      </c>
      <c r="N652" s="16">
        <v>50</v>
      </c>
      <c r="O652" s="17">
        <f>M652*N652</f>
        <v>150</v>
      </c>
      <c r="P652" s="13">
        <f>$O652*$U$4</f>
        <v>2.25</v>
      </c>
      <c r="Q652" s="13">
        <f>$O652*$U$5</f>
        <v>3</v>
      </c>
      <c r="R652" s="13" cm="1">
        <f t="array" ref="R652">_xlfn.IFS(B652=2023,O652*$U$4,B652=2024,O652*$U$5)</f>
        <v>2.25</v>
      </c>
    </row>
    <row r="653" spans="1:18">
      <c r="A653" s="2">
        <v>652</v>
      </c>
      <c r="B653" s="4">
        <f t="shared" si="51"/>
        <v>2023</v>
      </c>
      <c r="C653" s="4">
        <f t="shared" si="52"/>
        <v>5</v>
      </c>
      <c r="D653" s="4">
        <f t="shared" si="53"/>
        <v>1</v>
      </c>
      <c r="E653" s="4" t="str">
        <f t="shared" si="54"/>
        <v>Monday</v>
      </c>
      <c r="F653" s="4" t="str">
        <f t="shared" si="55"/>
        <v>May</v>
      </c>
      <c r="G653" s="3">
        <v>45047</v>
      </c>
      <c r="H653" s="4" t="s">
        <v>684</v>
      </c>
      <c r="I653" s="4" t="s">
        <v>22</v>
      </c>
      <c r="J653" s="4" t="str" cm="1">
        <f t="array" ref="J653">_xlfn.IFS(K653&lt;30,"Young Adult",K653&lt;50,"Adult",K653&gt;=50,"Senior")</f>
        <v>Adult</v>
      </c>
      <c r="K653" s="4">
        <v>34</v>
      </c>
      <c r="L653" s="4" t="s">
        <v>20</v>
      </c>
      <c r="M653" s="4">
        <v>2</v>
      </c>
      <c r="N653" s="16">
        <v>50</v>
      </c>
      <c r="O653" s="17">
        <f>M653*N653</f>
        <v>100</v>
      </c>
      <c r="P653" s="13">
        <f>$O653*$U$4</f>
        <v>1.5</v>
      </c>
      <c r="Q653" s="13">
        <f>$O653*$U$5</f>
        <v>2</v>
      </c>
      <c r="R653" s="13" cm="1">
        <f t="array" ref="R653">_xlfn.IFS(B653=2023,O653*$U$4,B653=2024,O653*$U$5)</f>
        <v>1.5</v>
      </c>
    </row>
    <row r="654" spans="1:18">
      <c r="A654" s="2">
        <v>653</v>
      </c>
      <c r="B654" s="4">
        <f t="shared" si="51"/>
        <v>2023</v>
      </c>
      <c r="C654" s="4">
        <f t="shared" si="52"/>
        <v>5</v>
      </c>
      <c r="D654" s="4">
        <f t="shared" si="53"/>
        <v>20</v>
      </c>
      <c r="E654" s="4" t="str">
        <f t="shared" si="54"/>
        <v>Saturday</v>
      </c>
      <c r="F654" s="4" t="str">
        <f t="shared" si="55"/>
        <v>May</v>
      </c>
      <c r="G654" s="3">
        <v>45066</v>
      </c>
      <c r="H654" s="4" t="s">
        <v>685</v>
      </c>
      <c r="I654" s="4" t="s">
        <v>19</v>
      </c>
      <c r="J654" s="4" t="str" cm="1">
        <f t="array" ref="J654">_xlfn.IFS(K654&lt;30,"Young Adult",K654&lt;50,"Adult",K654&gt;=50,"Senior")</f>
        <v>Senior</v>
      </c>
      <c r="K654" s="4">
        <v>54</v>
      </c>
      <c r="L654" s="4" t="s">
        <v>23</v>
      </c>
      <c r="M654" s="4">
        <v>3</v>
      </c>
      <c r="N654" s="16">
        <v>25</v>
      </c>
      <c r="O654" s="17">
        <f>M654*N654</f>
        <v>75</v>
      </c>
      <c r="P654" s="13">
        <f>$O654*$U$4</f>
        <v>1.125</v>
      </c>
      <c r="Q654" s="13">
        <f>$O654*$U$5</f>
        <v>1.5</v>
      </c>
      <c r="R654" s="13" cm="1">
        <f t="array" ref="R654">_xlfn.IFS(B654=2023,O654*$U$4,B654=2024,O654*$U$5)</f>
        <v>1.125</v>
      </c>
    </row>
    <row r="655" spans="1:18">
      <c r="A655" s="2">
        <v>654</v>
      </c>
      <c r="B655" s="4">
        <f t="shared" si="51"/>
        <v>2023</v>
      </c>
      <c r="C655" s="4">
        <f t="shared" si="52"/>
        <v>6</v>
      </c>
      <c r="D655" s="4">
        <f t="shared" si="53"/>
        <v>21</v>
      </c>
      <c r="E655" s="4" t="str">
        <f t="shared" si="54"/>
        <v>Wednesday</v>
      </c>
      <c r="F655" s="4" t="str">
        <f t="shared" si="55"/>
        <v>June</v>
      </c>
      <c r="G655" s="3">
        <v>45098</v>
      </c>
      <c r="H655" s="4" t="s">
        <v>686</v>
      </c>
      <c r="I655" s="4" t="s">
        <v>19</v>
      </c>
      <c r="J655" s="4" t="str" cm="1">
        <f t="array" ref="J655">_xlfn.IFS(K655&lt;30,"Young Adult",K655&lt;50,"Adult",K655&gt;=50,"Senior")</f>
        <v>Adult</v>
      </c>
      <c r="K655" s="4">
        <v>42</v>
      </c>
      <c r="L655" s="4" t="s">
        <v>23</v>
      </c>
      <c r="M655" s="4">
        <v>3</v>
      </c>
      <c r="N655" s="16">
        <v>25</v>
      </c>
      <c r="O655" s="17">
        <f>M655*N655</f>
        <v>75</v>
      </c>
      <c r="P655" s="13">
        <f>$O655*$U$4</f>
        <v>1.125</v>
      </c>
      <c r="Q655" s="13">
        <f>$O655*$U$5</f>
        <v>1.5</v>
      </c>
      <c r="R655" s="13" cm="1">
        <f t="array" ref="R655">_xlfn.IFS(B655=2023,O655*$U$4,B655=2024,O655*$U$5)</f>
        <v>1.125</v>
      </c>
    </row>
    <row r="656" spans="1:18">
      <c r="A656" s="2">
        <v>655</v>
      </c>
      <c r="B656" s="4">
        <f t="shared" si="51"/>
        <v>2023</v>
      </c>
      <c r="C656" s="4">
        <f t="shared" si="52"/>
        <v>6</v>
      </c>
      <c r="D656" s="4">
        <f t="shared" si="53"/>
        <v>13</v>
      </c>
      <c r="E656" s="4" t="str">
        <f t="shared" si="54"/>
        <v>Tuesday</v>
      </c>
      <c r="F656" s="4" t="str">
        <f t="shared" si="55"/>
        <v>June</v>
      </c>
      <c r="G656" s="3">
        <v>45090</v>
      </c>
      <c r="H656" s="4" t="s">
        <v>687</v>
      </c>
      <c r="I656" s="4" t="s">
        <v>22</v>
      </c>
      <c r="J656" s="4" t="str" cm="1">
        <f t="array" ref="J656">_xlfn.IFS(K656&lt;30,"Young Adult",K656&lt;50,"Adult",K656&gt;=50,"Senior")</f>
        <v>Senior</v>
      </c>
      <c r="K656" s="4">
        <v>55</v>
      </c>
      <c r="L656" s="4" t="s">
        <v>23</v>
      </c>
      <c r="M656" s="4">
        <v>1</v>
      </c>
      <c r="N656" s="16">
        <v>500</v>
      </c>
      <c r="O656" s="17">
        <f>M656*N656</f>
        <v>500</v>
      </c>
      <c r="P656" s="13">
        <f>$O656*$U$4</f>
        <v>7.5</v>
      </c>
      <c r="Q656" s="13">
        <f>$O656*$U$5</f>
        <v>10</v>
      </c>
      <c r="R656" s="13" cm="1">
        <f t="array" ref="R656">_xlfn.IFS(B656=2023,O656*$U$4,B656=2024,O656*$U$5)</f>
        <v>7.5</v>
      </c>
    </row>
    <row r="657" spans="1:18">
      <c r="A657" s="2">
        <v>656</v>
      </c>
      <c r="B657" s="4">
        <f t="shared" si="51"/>
        <v>2023</v>
      </c>
      <c r="C657" s="4">
        <f t="shared" si="52"/>
        <v>10</v>
      </c>
      <c r="D657" s="4">
        <f t="shared" si="53"/>
        <v>4</v>
      </c>
      <c r="E657" s="4" t="str">
        <f t="shared" si="54"/>
        <v>Wednesday</v>
      </c>
      <c r="F657" s="4" t="str">
        <f t="shared" si="55"/>
        <v>October</v>
      </c>
      <c r="G657" s="3">
        <v>45203</v>
      </c>
      <c r="H657" s="4" t="s">
        <v>688</v>
      </c>
      <c r="I657" s="4" t="s">
        <v>19</v>
      </c>
      <c r="J657" s="4" t="str" cm="1">
        <f t="array" ref="J657">_xlfn.IFS(K657&lt;30,"Young Adult",K657&lt;50,"Adult",K657&gt;=50,"Senior")</f>
        <v>Young Adult</v>
      </c>
      <c r="K657" s="4">
        <v>29</v>
      </c>
      <c r="L657" s="4" t="s">
        <v>20</v>
      </c>
      <c r="M657" s="4">
        <v>3</v>
      </c>
      <c r="N657" s="16">
        <v>30</v>
      </c>
      <c r="O657" s="17">
        <f>M657*N657</f>
        <v>90</v>
      </c>
      <c r="P657" s="13">
        <f>$O657*$U$4</f>
        <v>1.3499999999999999</v>
      </c>
      <c r="Q657" s="13">
        <f>$O657*$U$5</f>
        <v>1.8</v>
      </c>
      <c r="R657" s="13" cm="1">
        <f t="array" ref="R657">_xlfn.IFS(B657=2023,O657*$U$4,B657=2024,O657*$U$5)</f>
        <v>1.3499999999999999</v>
      </c>
    </row>
    <row r="658" spans="1:18">
      <c r="A658" s="2">
        <v>657</v>
      </c>
      <c r="B658" s="4">
        <f t="shared" si="51"/>
        <v>2023</v>
      </c>
      <c r="C658" s="4">
        <f t="shared" si="52"/>
        <v>2</v>
      </c>
      <c r="D658" s="4">
        <f t="shared" si="53"/>
        <v>11</v>
      </c>
      <c r="E658" s="4" t="str">
        <f t="shared" si="54"/>
        <v>Saturday</v>
      </c>
      <c r="F658" s="4" t="str">
        <f t="shared" si="55"/>
        <v>February</v>
      </c>
      <c r="G658" s="3">
        <v>44968</v>
      </c>
      <c r="H658" s="4" t="s">
        <v>689</v>
      </c>
      <c r="I658" s="4" t="s">
        <v>19</v>
      </c>
      <c r="J658" s="4" t="str" cm="1">
        <f t="array" ref="J658">_xlfn.IFS(K658&lt;30,"Young Adult",K658&lt;50,"Adult",K658&gt;=50,"Senior")</f>
        <v>Adult</v>
      </c>
      <c r="K658" s="4">
        <v>40</v>
      </c>
      <c r="L658" s="4" t="s">
        <v>23</v>
      </c>
      <c r="M658" s="4">
        <v>1</v>
      </c>
      <c r="N658" s="16">
        <v>25</v>
      </c>
      <c r="O658" s="17">
        <f>M658*N658</f>
        <v>25</v>
      </c>
      <c r="P658" s="13">
        <f>$O658*$U$4</f>
        <v>0.375</v>
      </c>
      <c r="Q658" s="13">
        <f>$O658*$U$5</f>
        <v>0.5</v>
      </c>
      <c r="R658" s="13" cm="1">
        <f t="array" ref="R658">_xlfn.IFS(B658=2023,O658*$U$4,B658=2024,O658*$U$5)</f>
        <v>0.375</v>
      </c>
    </row>
    <row r="659" spans="1:18">
      <c r="A659" s="2">
        <v>658</v>
      </c>
      <c r="B659" s="4">
        <f t="shared" si="51"/>
        <v>2023</v>
      </c>
      <c r="C659" s="4">
        <f t="shared" si="52"/>
        <v>3</v>
      </c>
      <c r="D659" s="4">
        <f t="shared" si="53"/>
        <v>12</v>
      </c>
      <c r="E659" s="4" t="str">
        <f t="shared" si="54"/>
        <v>Sunday</v>
      </c>
      <c r="F659" s="4" t="str">
        <f t="shared" si="55"/>
        <v>March</v>
      </c>
      <c r="G659" s="3">
        <v>44997</v>
      </c>
      <c r="H659" s="4" t="s">
        <v>690</v>
      </c>
      <c r="I659" s="4" t="s">
        <v>19</v>
      </c>
      <c r="J659" s="4" t="str" cm="1">
        <f t="array" ref="J659">_xlfn.IFS(K659&lt;30,"Young Adult",K659&lt;50,"Adult",K659&gt;=50,"Senior")</f>
        <v>Senior</v>
      </c>
      <c r="K659" s="4">
        <v>59</v>
      </c>
      <c r="L659" s="4" t="s">
        <v>23</v>
      </c>
      <c r="M659" s="4">
        <v>1</v>
      </c>
      <c r="N659" s="16">
        <v>25</v>
      </c>
      <c r="O659" s="17">
        <f>M659*N659</f>
        <v>25</v>
      </c>
      <c r="P659" s="13">
        <f>$O659*$U$4</f>
        <v>0.375</v>
      </c>
      <c r="Q659" s="13">
        <f>$O659*$U$5</f>
        <v>0.5</v>
      </c>
      <c r="R659" s="13" cm="1">
        <f t="array" ref="R659">_xlfn.IFS(B659=2023,O659*$U$4,B659=2024,O659*$U$5)</f>
        <v>0.375</v>
      </c>
    </row>
    <row r="660" spans="1:18">
      <c r="A660" s="2">
        <v>659</v>
      </c>
      <c r="B660" s="4">
        <f t="shared" si="51"/>
        <v>2023</v>
      </c>
      <c r="C660" s="4">
        <f t="shared" si="52"/>
        <v>3</v>
      </c>
      <c r="D660" s="4">
        <f t="shared" si="53"/>
        <v>19</v>
      </c>
      <c r="E660" s="4" t="str">
        <f t="shared" si="54"/>
        <v>Sunday</v>
      </c>
      <c r="F660" s="4" t="str">
        <f t="shared" si="55"/>
        <v>March</v>
      </c>
      <c r="G660" s="3">
        <v>45004</v>
      </c>
      <c r="H660" s="4" t="s">
        <v>691</v>
      </c>
      <c r="I660" s="4" t="s">
        <v>22</v>
      </c>
      <c r="J660" s="4" t="str" cm="1">
        <f t="array" ref="J660">_xlfn.IFS(K660&lt;30,"Young Adult",K660&lt;50,"Adult",K660&gt;=50,"Senior")</f>
        <v>Adult</v>
      </c>
      <c r="K660" s="4">
        <v>39</v>
      </c>
      <c r="L660" s="4" t="s">
        <v>26</v>
      </c>
      <c r="M660" s="4">
        <v>1</v>
      </c>
      <c r="N660" s="16">
        <v>30</v>
      </c>
      <c r="O660" s="17">
        <f>M660*N660</f>
        <v>30</v>
      </c>
      <c r="P660" s="13">
        <f>$O660*$U$4</f>
        <v>0.44999999999999996</v>
      </c>
      <c r="Q660" s="13">
        <f>$O660*$U$5</f>
        <v>0.6</v>
      </c>
      <c r="R660" s="13" cm="1">
        <f t="array" ref="R660">_xlfn.IFS(B660=2023,O660*$U$4,B660=2024,O660*$U$5)</f>
        <v>0.44999999999999996</v>
      </c>
    </row>
    <row r="661" spans="1:18">
      <c r="A661" s="2">
        <v>660</v>
      </c>
      <c r="B661" s="4">
        <f t="shared" si="51"/>
        <v>2023</v>
      </c>
      <c r="C661" s="4">
        <f t="shared" si="52"/>
        <v>4</v>
      </c>
      <c r="D661" s="4">
        <f t="shared" si="53"/>
        <v>29</v>
      </c>
      <c r="E661" s="4" t="str">
        <f t="shared" si="54"/>
        <v>Saturday</v>
      </c>
      <c r="F661" s="4" t="str">
        <f t="shared" si="55"/>
        <v>April</v>
      </c>
      <c r="G661" s="3">
        <v>45045</v>
      </c>
      <c r="H661" s="4" t="s">
        <v>692</v>
      </c>
      <c r="I661" s="4" t="s">
        <v>22</v>
      </c>
      <c r="J661" s="4" t="str" cm="1">
        <f t="array" ref="J661">_xlfn.IFS(K661&lt;30,"Young Adult",K661&lt;50,"Adult",K661&gt;=50,"Senior")</f>
        <v>Adult</v>
      </c>
      <c r="K661" s="4">
        <v>38</v>
      </c>
      <c r="L661" s="4" t="s">
        <v>20</v>
      </c>
      <c r="M661" s="4">
        <v>2</v>
      </c>
      <c r="N661" s="16">
        <v>500</v>
      </c>
      <c r="O661" s="17">
        <f>M661*N661</f>
        <v>1000</v>
      </c>
      <c r="P661" s="13">
        <f>$O661*$U$4</f>
        <v>15</v>
      </c>
      <c r="Q661" s="13">
        <f>$O661*$U$5</f>
        <v>20</v>
      </c>
      <c r="R661" s="13" cm="1">
        <f t="array" ref="R661">_xlfn.IFS(B661=2023,O661*$U$4,B661=2024,O661*$U$5)</f>
        <v>15</v>
      </c>
    </row>
    <row r="662" spans="1:18">
      <c r="A662" s="2">
        <v>661</v>
      </c>
      <c r="B662" s="4">
        <f t="shared" si="51"/>
        <v>2023</v>
      </c>
      <c r="C662" s="4">
        <f t="shared" si="52"/>
        <v>7</v>
      </c>
      <c r="D662" s="4">
        <f t="shared" si="53"/>
        <v>16</v>
      </c>
      <c r="E662" s="4" t="str">
        <f t="shared" si="54"/>
        <v>Sunday</v>
      </c>
      <c r="F662" s="4" t="str">
        <f t="shared" si="55"/>
        <v>July</v>
      </c>
      <c r="G662" s="3">
        <v>45123</v>
      </c>
      <c r="H662" s="4" t="s">
        <v>693</v>
      </c>
      <c r="I662" s="4" t="s">
        <v>22</v>
      </c>
      <c r="J662" s="4" t="str" cm="1">
        <f t="array" ref="J662">_xlfn.IFS(K662&lt;30,"Young Adult",K662&lt;50,"Adult",K662&gt;=50,"Senior")</f>
        <v>Adult</v>
      </c>
      <c r="K662" s="4">
        <v>44</v>
      </c>
      <c r="L662" s="4" t="s">
        <v>23</v>
      </c>
      <c r="M662" s="4">
        <v>4</v>
      </c>
      <c r="N662" s="16">
        <v>25</v>
      </c>
      <c r="O662" s="17">
        <f>M662*N662</f>
        <v>100</v>
      </c>
      <c r="P662" s="13">
        <f>$O662*$U$4</f>
        <v>1.5</v>
      </c>
      <c r="Q662" s="13">
        <f>$O662*$U$5</f>
        <v>2</v>
      </c>
      <c r="R662" s="13" cm="1">
        <f t="array" ref="R662">_xlfn.IFS(B662=2023,O662*$U$4,B662=2024,O662*$U$5)</f>
        <v>1.5</v>
      </c>
    </row>
    <row r="663" spans="1:18">
      <c r="A663" s="2">
        <v>662</v>
      </c>
      <c r="B663" s="4">
        <f t="shared" si="51"/>
        <v>2023</v>
      </c>
      <c r="C663" s="4">
        <f t="shared" si="52"/>
        <v>12</v>
      </c>
      <c r="D663" s="4">
        <f t="shared" si="53"/>
        <v>22</v>
      </c>
      <c r="E663" s="4" t="str">
        <f t="shared" si="54"/>
        <v>Friday</v>
      </c>
      <c r="F663" s="4" t="str">
        <f t="shared" si="55"/>
        <v>December</v>
      </c>
      <c r="G663" s="3">
        <v>45282</v>
      </c>
      <c r="H663" s="4" t="s">
        <v>694</v>
      </c>
      <c r="I663" s="4" t="s">
        <v>19</v>
      </c>
      <c r="J663" s="4" t="str" cm="1">
        <f t="array" ref="J663">_xlfn.IFS(K663&lt;30,"Young Adult",K663&lt;50,"Adult",K663&gt;=50,"Senior")</f>
        <v>Adult</v>
      </c>
      <c r="K663" s="4">
        <v>48</v>
      </c>
      <c r="L663" s="4" t="s">
        <v>20</v>
      </c>
      <c r="M663" s="4">
        <v>2</v>
      </c>
      <c r="N663" s="16">
        <v>500</v>
      </c>
      <c r="O663" s="17">
        <f>M663*N663</f>
        <v>1000</v>
      </c>
      <c r="P663" s="13">
        <f>$O663*$U$4</f>
        <v>15</v>
      </c>
      <c r="Q663" s="13">
        <f>$O663*$U$5</f>
        <v>20</v>
      </c>
      <c r="R663" s="13" cm="1">
        <f t="array" ref="R663">_xlfn.IFS(B663=2023,O663*$U$4,B663=2024,O663*$U$5)</f>
        <v>15</v>
      </c>
    </row>
    <row r="664" spans="1:18">
      <c r="A664" s="2">
        <v>663</v>
      </c>
      <c r="B664" s="4">
        <f t="shared" si="51"/>
        <v>2023</v>
      </c>
      <c r="C664" s="4">
        <f t="shared" si="52"/>
        <v>3</v>
      </c>
      <c r="D664" s="4">
        <f t="shared" si="53"/>
        <v>20</v>
      </c>
      <c r="E664" s="4" t="str">
        <f t="shared" si="54"/>
        <v>Monday</v>
      </c>
      <c r="F664" s="4" t="str">
        <f t="shared" si="55"/>
        <v>March</v>
      </c>
      <c r="G664" s="3">
        <v>45005</v>
      </c>
      <c r="H664" s="4" t="s">
        <v>695</v>
      </c>
      <c r="I664" s="4" t="s">
        <v>19</v>
      </c>
      <c r="J664" s="4" t="str" cm="1">
        <f t="array" ref="J664">_xlfn.IFS(K664&lt;30,"Young Adult",K664&lt;50,"Adult",K664&gt;=50,"Senior")</f>
        <v>Young Adult</v>
      </c>
      <c r="K664" s="4">
        <v>23</v>
      </c>
      <c r="L664" s="4" t="s">
        <v>23</v>
      </c>
      <c r="M664" s="4">
        <v>4</v>
      </c>
      <c r="N664" s="16">
        <v>300</v>
      </c>
      <c r="O664" s="17">
        <f>M664*N664</f>
        <v>1200</v>
      </c>
      <c r="P664" s="13">
        <f>$O664*$U$4</f>
        <v>18</v>
      </c>
      <c r="Q664" s="13">
        <f>$O664*$U$5</f>
        <v>24</v>
      </c>
      <c r="R664" s="13" cm="1">
        <f t="array" ref="R664">_xlfn.IFS(B664=2023,O664*$U$4,B664=2024,O664*$U$5)</f>
        <v>18</v>
      </c>
    </row>
    <row r="665" spans="1:18">
      <c r="A665" s="2">
        <v>664</v>
      </c>
      <c r="B665" s="4">
        <f t="shared" si="51"/>
        <v>2023</v>
      </c>
      <c r="C665" s="4">
        <f t="shared" si="52"/>
        <v>12</v>
      </c>
      <c r="D665" s="4">
        <f t="shared" si="53"/>
        <v>28</v>
      </c>
      <c r="E665" s="4" t="str">
        <f t="shared" si="54"/>
        <v>Thursday</v>
      </c>
      <c r="F665" s="4" t="str">
        <f t="shared" si="55"/>
        <v>December</v>
      </c>
      <c r="G665" s="3">
        <v>45288</v>
      </c>
      <c r="H665" s="4" t="s">
        <v>696</v>
      </c>
      <c r="I665" s="4" t="s">
        <v>22</v>
      </c>
      <c r="J665" s="4" t="str" cm="1">
        <f t="array" ref="J665">_xlfn.IFS(K665&lt;30,"Young Adult",K665&lt;50,"Adult",K665&gt;=50,"Senior")</f>
        <v>Adult</v>
      </c>
      <c r="K665" s="4">
        <v>44</v>
      </c>
      <c r="L665" s="4" t="s">
        <v>23</v>
      </c>
      <c r="M665" s="4">
        <v>4</v>
      </c>
      <c r="N665" s="16">
        <v>500</v>
      </c>
      <c r="O665" s="17">
        <f>M665*N665</f>
        <v>2000</v>
      </c>
      <c r="P665" s="13">
        <f>$O665*$U$4</f>
        <v>30</v>
      </c>
      <c r="Q665" s="13">
        <f>$O665*$U$5</f>
        <v>40</v>
      </c>
      <c r="R665" s="13" cm="1">
        <f t="array" ref="R665">_xlfn.IFS(B665=2023,O665*$U$4,B665=2024,O665*$U$5)</f>
        <v>30</v>
      </c>
    </row>
    <row r="666" spans="1:18">
      <c r="A666" s="2">
        <v>665</v>
      </c>
      <c r="B666" s="4">
        <f t="shared" si="51"/>
        <v>2023</v>
      </c>
      <c r="C666" s="4">
        <f t="shared" si="52"/>
        <v>4</v>
      </c>
      <c r="D666" s="4">
        <f t="shared" si="53"/>
        <v>20</v>
      </c>
      <c r="E666" s="4" t="str">
        <f t="shared" si="54"/>
        <v>Thursday</v>
      </c>
      <c r="F666" s="4" t="str">
        <f t="shared" si="55"/>
        <v>April</v>
      </c>
      <c r="G666" s="3">
        <v>45036</v>
      </c>
      <c r="H666" s="4" t="s">
        <v>697</v>
      </c>
      <c r="I666" s="4" t="s">
        <v>19</v>
      </c>
      <c r="J666" s="4" t="str" cm="1">
        <f t="array" ref="J666">_xlfn.IFS(K666&lt;30,"Young Adult",K666&lt;50,"Adult",K666&gt;=50,"Senior")</f>
        <v>Senior</v>
      </c>
      <c r="K666" s="4">
        <v>57</v>
      </c>
      <c r="L666" s="4" t="s">
        <v>23</v>
      </c>
      <c r="M666" s="4">
        <v>1</v>
      </c>
      <c r="N666" s="16">
        <v>50</v>
      </c>
      <c r="O666" s="17">
        <f>M666*N666</f>
        <v>50</v>
      </c>
      <c r="P666" s="13">
        <f>$O666*$U$4</f>
        <v>0.75</v>
      </c>
      <c r="Q666" s="13">
        <f>$O666*$U$5</f>
        <v>1</v>
      </c>
      <c r="R666" s="13" cm="1">
        <f t="array" ref="R666">_xlfn.IFS(B666=2023,O666*$U$4,B666=2024,O666*$U$5)</f>
        <v>0.75</v>
      </c>
    </row>
    <row r="667" spans="1:18">
      <c r="A667" s="2">
        <v>666</v>
      </c>
      <c r="B667" s="4">
        <f t="shared" si="51"/>
        <v>2023</v>
      </c>
      <c r="C667" s="4">
        <f t="shared" si="52"/>
        <v>2</v>
      </c>
      <c r="D667" s="4">
        <f t="shared" si="53"/>
        <v>2</v>
      </c>
      <c r="E667" s="4" t="str">
        <f t="shared" si="54"/>
        <v>Thursday</v>
      </c>
      <c r="F667" s="4" t="str">
        <f t="shared" si="55"/>
        <v>February</v>
      </c>
      <c r="G667" s="3">
        <v>44959</v>
      </c>
      <c r="H667" s="4" t="s">
        <v>698</v>
      </c>
      <c r="I667" s="4" t="s">
        <v>19</v>
      </c>
      <c r="J667" s="4" t="str" cm="1">
        <f t="array" ref="J667">_xlfn.IFS(K667&lt;30,"Young Adult",K667&lt;50,"Adult",K667&gt;=50,"Senior")</f>
        <v>Senior</v>
      </c>
      <c r="K667" s="4">
        <v>51</v>
      </c>
      <c r="L667" s="4" t="s">
        <v>26</v>
      </c>
      <c r="M667" s="4">
        <v>3</v>
      </c>
      <c r="N667" s="16">
        <v>50</v>
      </c>
      <c r="O667" s="17">
        <f>M667*N667</f>
        <v>150</v>
      </c>
      <c r="P667" s="13">
        <f>$O667*$U$4</f>
        <v>2.25</v>
      </c>
      <c r="Q667" s="13">
        <f>$O667*$U$5</f>
        <v>3</v>
      </c>
      <c r="R667" s="13" cm="1">
        <f t="array" ref="R667">_xlfn.IFS(B667=2023,O667*$U$4,B667=2024,O667*$U$5)</f>
        <v>2.25</v>
      </c>
    </row>
    <row r="668" spans="1:18">
      <c r="A668" s="2">
        <v>667</v>
      </c>
      <c r="B668" s="4">
        <f t="shared" si="51"/>
        <v>2023</v>
      </c>
      <c r="C668" s="4">
        <f t="shared" si="52"/>
        <v>8</v>
      </c>
      <c r="D668" s="4">
        <f t="shared" si="53"/>
        <v>1</v>
      </c>
      <c r="E668" s="4" t="str">
        <f t="shared" si="54"/>
        <v>Tuesday</v>
      </c>
      <c r="F668" s="4" t="str">
        <f t="shared" si="55"/>
        <v>August</v>
      </c>
      <c r="G668" s="3">
        <v>45139</v>
      </c>
      <c r="H668" s="4" t="s">
        <v>699</v>
      </c>
      <c r="I668" s="4" t="s">
        <v>22</v>
      </c>
      <c r="J668" s="4" t="str" cm="1">
        <f t="array" ref="J668">_xlfn.IFS(K668&lt;30,"Young Adult",K668&lt;50,"Adult",K668&gt;=50,"Senior")</f>
        <v>Young Adult</v>
      </c>
      <c r="K668" s="4">
        <v>29</v>
      </c>
      <c r="L668" s="4" t="s">
        <v>26</v>
      </c>
      <c r="M668" s="4">
        <v>1</v>
      </c>
      <c r="N668" s="16">
        <v>500</v>
      </c>
      <c r="O668" s="17">
        <f>M668*N668</f>
        <v>500</v>
      </c>
      <c r="P668" s="13">
        <f>$O668*$U$4</f>
        <v>7.5</v>
      </c>
      <c r="Q668" s="13">
        <f>$O668*$U$5</f>
        <v>10</v>
      </c>
      <c r="R668" s="13" cm="1">
        <f t="array" ref="R668">_xlfn.IFS(B668=2023,O668*$U$4,B668=2024,O668*$U$5)</f>
        <v>7.5</v>
      </c>
    </row>
    <row r="669" spans="1:18">
      <c r="A669" s="2">
        <v>668</v>
      </c>
      <c r="B669" s="4">
        <f t="shared" si="51"/>
        <v>2023</v>
      </c>
      <c r="C669" s="4">
        <f t="shared" si="52"/>
        <v>7</v>
      </c>
      <c r="D669" s="4">
        <f t="shared" si="53"/>
        <v>28</v>
      </c>
      <c r="E669" s="4" t="str">
        <f t="shared" si="54"/>
        <v>Friday</v>
      </c>
      <c r="F669" s="4" t="str">
        <f t="shared" si="55"/>
        <v>July</v>
      </c>
      <c r="G669" s="3">
        <v>45135</v>
      </c>
      <c r="H669" s="4" t="s">
        <v>700</v>
      </c>
      <c r="I669" s="4" t="s">
        <v>22</v>
      </c>
      <c r="J669" s="4" t="str" cm="1">
        <f t="array" ref="J669">_xlfn.IFS(K669&lt;30,"Young Adult",K669&lt;50,"Adult",K669&gt;=50,"Senior")</f>
        <v>Senior</v>
      </c>
      <c r="K669" s="4">
        <v>62</v>
      </c>
      <c r="L669" s="4" t="s">
        <v>26</v>
      </c>
      <c r="M669" s="4">
        <v>3</v>
      </c>
      <c r="N669" s="16">
        <v>50</v>
      </c>
      <c r="O669" s="17">
        <f>M669*N669</f>
        <v>150</v>
      </c>
      <c r="P669" s="13">
        <f>$O669*$U$4</f>
        <v>2.25</v>
      </c>
      <c r="Q669" s="13">
        <f>$O669*$U$5</f>
        <v>3</v>
      </c>
      <c r="R669" s="13" cm="1">
        <f t="array" ref="R669">_xlfn.IFS(B669=2023,O669*$U$4,B669=2024,O669*$U$5)</f>
        <v>2.25</v>
      </c>
    </row>
    <row r="670" spans="1:18">
      <c r="A670" s="2">
        <v>669</v>
      </c>
      <c r="B670" s="4">
        <f t="shared" si="51"/>
        <v>2023</v>
      </c>
      <c r="C670" s="4">
        <f t="shared" si="52"/>
        <v>6</v>
      </c>
      <c r="D670" s="4">
        <f t="shared" si="53"/>
        <v>19</v>
      </c>
      <c r="E670" s="4" t="str">
        <f t="shared" si="54"/>
        <v>Monday</v>
      </c>
      <c r="F670" s="4" t="str">
        <f t="shared" si="55"/>
        <v>June</v>
      </c>
      <c r="G670" s="3">
        <v>45096</v>
      </c>
      <c r="H670" s="4" t="s">
        <v>701</v>
      </c>
      <c r="I670" s="4" t="s">
        <v>19</v>
      </c>
      <c r="J670" s="4" t="str" cm="1">
        <f t="array" ref="J670">_xlfn.IFS(K670&lt;30,"Young Adult",K670&lt;50,"Adult",K670&gt;=50,"Senior")</f>
        <v>Young Adult</v>
      </c>
      <c r="K670" s="4">
        <v>24</v>
      </c>
      <c r="L670" s="4" t="s">
        <v>20</v>
      </c>
      <c r="M670" s="4">
        <v>4</v>
      </c>
      <c r="N670" s="16">
        <v>300</v>
      </c>
      <c r="O670" s="17">
        <f>M670*N670</f>
        <v>1200</v>
      </c>
      <c r="P670" s="13">
        <f>$O670*$U$4</f>
        <v>18</v>
      </c>
      <c r="Q670" s="13">
        <f>$O670*$U$5</f>
        <v>24</v>
      </c>
      <c r="R670" s="13" cm="1">
        <f t="array" ref="R670">_xlfn.IFS(B670=2023,O670*$U$4,B670=2024,O670*$U$5)</f>
        <v>18</v>
      </c>
    </row>
    <row r="671" spans="1:18">
      <c r="A671" s="2">
        <v>670</v>
      </c>
      <c r="B671" s="4">
        <f t="shared" si="51"/>
        <v>2023</v>
      </c>
      <c r="C671" s="4">
        <f t="shared" si="52"/>
        <v>10</v>
      </c>
      <c r="D671" s="4">
        <f t="shared" si="53"/>
        <v>5</v>
      </c>
      <c r="E671" s="4" t="str">
        <f t="shared" si="54"/>
        <v>Thursday</v>
      </c>
      <c r="F671" s="4" t="str">
        <f t="shared" si="55"/>
        <v>October</v>
      </c>
      <c r="G671" s="3">
        <v>45204</v>
      </c>
      <c r="H671" s="4" t="s">
        <v>702</v>
      </c>
      <c r="I671" s="4" t="s">
        <v>19</v>
      </c>
      <c r="J671" s="4" t="str" cm="1">
        <f t="array" ref="J671">_xlfn.IFS(K671&lt;30,"Young Adult",K671&lt;50,"Adult",K671&gt;=50,"Senior")</f>
        <v>Young Adult</v>
      </c>
      <c r="K671" s="4">
        <v>27</v>
      </c>
      <c r="L671" s="4" t="s">
        <v>20</v>
      </c>
      <c r="M671" s="4">
        <v>1</v>
      </c>
      <c r="N671" s="16">
        <v>30</v>
      </c>
      <c r="O671" s="17">
        <f>M671*N671</f>
        <v>30</v>
      </c>
      <c r="P671" s="13">
        <f>$O671*$U$4</f>
        <v>0.44999999999999996</v>
      </c>
      <c r="Q671" s="13">
        <f>$O671*$U$5</f>
        <v>0.6</v>
      </c>
      <c r="R671" s="13" cm="1">
        <f t="array" ref="R671">_xlfn.IFS(B671=2023,O671*$U$4,B671=2024,O671*$U$5)</f>
        <v>0.44999999999999996</v>
      </c>
    </row>
    <row r="672" spans="1:18">
      <c r="A672" s="2">
        <v>671</v>
      </c>
      <c r="B672" s="4">
        <f t="shared" si="51"/>
        <v>2023</v>
      </c>
      <c r="C672" s="4">
        <f t="shared" si="52"/>
        <v>8</v>
      </c>
      <c r="D672" s="4">
        <f t="shared" si="53"/>
        <v>27</v>
      </c>
      <c r="E672" s="4" t="str">
        <f t="shared" si="54"/>
        <v>Sunday</v>
      </c>
      <c r="F672" s="4" t="str">
        <f t="shared" si="55"/>
        <v>August</v>
      </c>
      <c r="G672" s="3">
        <v>45165</v>
      </c>
      <c r="H672" s="4" t="s">
        <v>703</v>
      </c>
      <c r="I672" s="4" t="s">
        <v>19</v>
      </c>
      <c r="J672" s="4" t="str" cm="1">
        <f t="array" ref="J672">_xlfn.IFS(K672&lt;30,"Young Adult",K672&lt;50,"Adult",K672&gt;=50,"Senior")</f>
        <v>Senior</v>
      </c>
      <c r="K672" s="4">
        <v>62</v>
      </c>
      <c r="L672" s="4" t="s">
        <v>26</v>
      </c>
      <c r="M672" s="4">
        <v>3</v>
      </c>
      <c r="N672" s="16">
        <v>50</v>
      </c>
      <c r="O672" s="17">
        <f>M672*N672</f>
        <v>150</v>
      </c>
      <c r="P672" s="13">
        <f>$O672*$U$4</f>
        <v>2.25</v>
      </c>
      <c r="Q672" s="13">
        <f>$O672*$U$5</f>
        <v>3</v>
      </c>
      <c r="R672" s="13" cm="1">
        <f t="array" ref="R672">_xlfn.IFS(B672=2023,O672*$U$4,B672=2024,O672*$U$5)</f>
        <v>2.25</v>
      </c>
    </row>
    <row r="673" spans="1:18">
      <c r="A673" s="2">
        <v>672</v>
      </c>
      <c r="B673" s="4">
        <f t="shared" si="51"/>
        <v>2023</v>
      </c>
      <c r="C673" s="4">
        <f t="shared" si="52"/>
        <v>8</v>
      </c>
      <c r="D673" s="4">
        <f t="shared" si="53"/>
        <v>1</v>
      </c>
      <c r="E673" s="4" t="str">
        <f t="shared" si="54"/>
        <v>Tuesday</v>
      </c>
      <c r="F673" s="4" t="str">
        <f t="shared" si="55"/>
        <v>August</v>
      </c>
      <c r="G673" s="3">
        <v>45139</v>
      </c>
      <c r="H673" s="4" t="s">
        <v>704</v>
      </c>
      <c r="I673" s="4" t="s">
        <v>22</v>
      </c>
      <c r="J673" s="4" t="str" cm="1">
        <f t="array" ref="J673">_xlfn.IFS(K673&lt;30,"Young Adult",K673&lt;50,"Adult",K673&gt;=50,"Senior")</f>
        <v>Adult</v>
      </c>
      <c r="K673" s="4">
        <v>34</v>
      </c>
      <c r="L673" s="4" t="s">
        <v>20</v>
      </c>
      <c r="M673" s="4">
        <v>2</v>
      </c>
      <c r="N673" s="16">
        <v>50</v>
      </c>
      <c r="O673" s="17">
        <f>M673*N673</f>
        <v>100</v>
      </c>
      <c r="P673" s="13">
        <f>$O673*$U$4</f>
        <v>1.5</v>
      </c>
      <c r="Q673" s="13">
        <f>$O673*$U$5</f>
        <v>2</v>
      </c>
      <c r="R673" s="13" cm="1">
        <f t="array" ref="R673">_xlfn.IFS(B673=2023,O673*$U$4,B673=2024,O673*$U$5)</f>
        <v>1.5</v>
      </c>
    </row>
    <row r="674" spans="1:18">
      <c r="A674" s="2">
        <v>673</v>
      </c>
      <c r="B674" s="4">
        <f t="shared" si="51"/>
        <v>2023</v>
      </c>
      <c r="C674" s="4">
        <f t="shared" si="52"/>
        <v>2</v>
      </c>
      <c r="D674" s="4">
        <f t="shared" si="53"/>
        <v>1</v>
      </c>
      <c r="E674" s="4" t="str">
        <f t="shared" si="54"/>
        <v>Wednesday</v>
      </c>
      <c r="F674" s="4" t="str">
        <f t="shared" si="55"/>
        <v>February</v>
      </c>
      <c r="G674" s="3">
        <v>44958</v>
      </c>
      <c r="H674" s="4" t="s">
        <v>705</v>
      </c>
      <c r="I674" s="4" t="s">
        <v>22</v>
      </c>
      <c r="J674" s="4" t="str" cm="1">
        <f t="array" ref="J674">_xlfn.IFS(K674&lt;30,"Young Adult",K674&lt;50,"Adult",K674&gt;=50,"Senior")</f>
        <v>Adult</v>
      </c>
      <c r="K674" s="4">
        <v>43</v>
      </c>
      <c r="L674" s="4" t="s">
        <v>23</v>
      </c>
      <c r="M674" s="4">
        <v>3</v>
      </c>
      <c r="N674" s="16">
        <v>500</v>
      </c>
      <c r="O674" s="17">
        <f>M674*N674</f>
        <v>1500</v>
      </c>
      <c r="P674" s="13">
        <f>$O674*$U$4</f>
        <v>22.5</v>
      </c>
      <c r="Q674" s="13">
        <f>$O674*$U$5</f>
        <v>30</v>
      </c>
      <c r="R674" s="13" cm="1">
        <f t="array" ref="R674">_xlfn.IFS(B674=2023,O674*$U$4,B674=2024,O674*$U$5)</f>
        <v>22.5</v>
      </c>
    </row>
    <row r="675" spans="1:18">
      <c r="A675" s="2">
        <v>674</v>
      </c>
      <c r="B675" s="4">
        <f t="shared" si="51"/>
        <v>2023</v>
      </c>
      <c r="C675" s="4">
        <f t="shared" si="52"/>
        <v>4</v>
      </c>
      <c r="D675" s="4">
        <f t="shared" si="53"/>
        <v>16</v>
      </c>
      <c r="E675" s="4" t="str">
        <f t="shared" si="54"/>
        <v>Sunday</v>
      </c>
      <c r="F675" s="4" t="str">
        <f t="shared" si="55"/>
        <v>April</v>
      </c>
      <c r="G675" s="3">
        <v>45032</v>
      </c>
      <c r="H675" s="4" t="s">
        <v>706</v>
      </c>
      <c r="I675" s="4" t="s">
        <v>22</v>
      </c>
      <c r="J675" s="4" t="str" cm="1">
        <f t="array" ref="J675">_xlfn.IFS(K675&lt;30,"Young Adult",K675&lt;50,"Adult",K675&gt;=50,"Senior")</f>
        <v>Adult</v>
      </c>
      <c r="K675" s="4">
        <v>38</v>
      </c>
      <c r="L675" s="4" t="s">
        <v>23</v>
      </c>
      <c r="M675" s="4">
        <v>1</v>
      </c>
      <c r="N675" s="16">
        <v>300</v>
      </c>
      <c r="O675" s="17">
        <f>M675*N675</f>
        <v>300</v>
      </c>
      <c r="P675" s="13">
        <f>$O675*$U$4</f>
        <v>4.5</v>
      </c>
      <c r="Q675" s="13">
        <f>$O675*$U$5</f>
        <v>6</v>
      </c>
      <c r="R675" s="13" cm="1">
        <f t="array" ref="R675">_xlfn.IFS(B675=2023,O675*$U$4,B675=2024,O675*$U$5)</f>
        <v>4.5</v>
      </c>
    </row>
    <row r="676" spans="1:18">
      <c r="A676" s="2">
        <v>675</v>
      </c>
      <c r="B676" s="4">
        <f t="shared" si="51"/>
        <v>2023</v>
      </c>
      <c r="C676" s="4">
        <f t="shared" si="52"/>
        <v>8</v>
      </c>
      <c r="D676" s="4">
        <f t="shared" si="53"/>
        <v>4</v>
      </c>
      <c r="E676" s="4" t="str">
        <f t="shared" si="54"/>
        <v>Friday</v>
      </c>
      <c r="F676" s="4" t="str">
        <f t="shared" si="55"/>
        <v>August</v>
      </c>
      <c r="G676" s="3">
        <v>45142</v>
      </c>
      <c r="H676" s="4" t="s">
        <v>707</v>
      </c>
      <c r="I676" s="4" t="s">
        <v>22</v>
      </c>
      <c r="J676" s="4" t="str" cm="1">
        <f t="array" ref="J676">_xlfn.IFS(K676&lt;30,"Young Adult",K676&lt;50,"Adult",K676&gt;=50,"Senior")</f>
        <v>Adult</v>
      </c>
      <c r="K676" s="4">
        <v>45</v>
      </c>
      <c r="L676" s="4" t="s">
        <v>23</v>
      </c>
      <c r="M676" s="4">
        <v>2</v>
      </c>
      <c r="N676" s="16">
        <v>30</v>
      </c>
      <c r="O676" s="17">
        <f>M676*N676</f>
        <v>60</v>
      </c>
      <c r="P676" s="13">
        <f>$O676*$U$4</f>
        <v>0.89999999999999991</v>
      </c>
      <c r="Q676" s="13">
        <f>$O676*$U$5</f>
        <v>1.2</v>
      </c>
      <c r="R676" s="13" cm="1">
        <f t="array" ref="R676">_xlfn.IFS(B676=2023,O676*$U$4,B676=2024,O676*$U$5)</f>
        <v>0.89999999999999991</v>
      </c>
    </row>
    <row r="677" spans="1:18">
      <c r="A677" s="2">
        <v>676</v>
      </c>
      <c r="B677" s="4">
        <f t="shared" si="51"/>
        <v>2023</v>
      </c>
      <c r="C677" s="4">
        <f t="shared" si="52"/>
        <v>7</v>
      </c>
      <c r="D677" s="4">
        <f t="shared" si="53"/>
        <v>19</v>
      </c>
      <c r="E677" s="4" t="str">
        <f t="shared" si="54"/>
        <v>Wednesday</v>
      </c>
      <c r="F677" s="4" t="str">
        <f t="shared" si="55"/>
        <v>July</v>
      </c>
      <c r="G677" s="3">
        <v>45126</v>
      </c>
      <c r="H677" s="4" t="s">
        <v>708</v>
      </c>
      <c r="I677" s="4" t="s">
        <v>19</v>
      </c>
      <c r="J677" s="4" t="str" cm="1">
        <f t="array" ref="J677">_xlfn.IFS(K677&lt;30,"Young Adult",K677&lt;50,"Adult",K677&gt;=50,"Senior")</f>
        <v>Senior</v>
      </c>
      <c r="K677" s="4">
        <v>63</v>
      </c>
      <c r="L677" s="4" t="s">
        <v>26</v>
      </c>
      <c r="M677" s="4">
        <v>3</v>
      </c>
      <c r="N677" s="16">
        <v>500</v>
      </c>
      <c r="O677" s="17">
        <f>M677*N677</f>
        <v>1500</v>
      </c>
      <c r="P677" s="13">
        <f>$O677*$U$4</f>
        <v>22.5</v>
      </c>
      <c r="Q677" s="13">
        <f>$O677*$U$5</f>
        <v>30</v>
      </c>
      <c r="R677" s="13" cm="1">
        <f t="array" ref="R677">_xlfn.IFS(B677=2023,O677*$U$4,B677=2024,O677*$U$5)</f>
        <v>22.5</v>
      </c>
    </row>
    <row r="678" spans="1:18">
      <c r="A678" s="2">
        <v>677</v>
      </c>
      <c r="B678" s="4">
        <f t="shared" si="51"/>
        <v>2023</v>
      </c>
      <c r="C678" s="4">
        <f t="shared" si="52"/>
        <v>10</v>
      </c>
      <c r="D678" s="4">
        <f t="shared" si="53"/>
        <v>27</v>
      </c>
      <c r="E678" s="4" t="str">
        <f t="shared" si="54"/>
        <v>Friday</v>
      </c>
      <c r="F678" s="4" t="str">
        <f t="shared" si="55"/>
        <v>October</v>
      </c>
      <c r="G678" s="3">
        <v>45226</v>
      </c>
      <c r="H678" s="4" t="s">
        <v>709</v>
      </c>
      <c r="I678" s="4" t="s">
        <v>22</v>
      </c>
      <c r="J678" s="4" t="str" cm="1">
        <f t="array" ref="J678">_xlfn.IFS(K678&lt;30,"Young Adult",K678&lt;50,"Adult",K678&gt;=50,"Senior")</f>
        <v>Young Adult</v>
      </c>
      <c r="K678" s="4">
        <v>19</v>
      </c>
      <c r="L678" s="4" t="s">
        <v>20</v>
      </c>
      <c r="M678" s="4">
        <v>3</v>
      </c>
      <c r="N678" s="16">
        <v>500</v>
      </c>
      <c r="O678" s="17">
        <f>M678*N678</f>
        <v>1500</v>
      </c>
      <c r="P678" s="13">
        <f>$O678*$U$4</f>
        <v>22.5</v>
      </c>
      <c r="Q678" s="13">
        <f>$O678*$U$5</f>
        <v>30</v>
      </c>
      <c r="R678" s="13" cm="1">
        <f t="array" ref="R678">_xlfn.IFS(B678=2023,O678*$U$4,B678=2024,O678*$U$5)</f>
        <v>22.5</v>
      </c>
    </row>
    <row r="679" spans="1:18">
      <c r="A679" s="2">
        <v>678</v>
      </c>
      <c r="B679" s="4">
        <f t="shared" si="51"/>
        <v>2023</v>
      </c>
      <c r="C679" s="4">
        <f t="shared" si="52"/>
        <v>12</v>
      </c>
      <c r="D679" s="4">
        <f t="shared" si="53"/>
        <v>23</v>
      </c>
      <c r="E679" s="4" t="str">
        <f t="shared" si="54"/>
        <v>Saturday</v>
      </c>
      <c r="F679" s="4" t="str">
        <f t="shared" si="55"/>
        <v>December</v>
      </c>
      <c r="G679" s="3">
        <v>45283</v>
      </c>
      <c r="H679" s="4" t="s">
        <v>710</v>
      </c>
      <c r="I679" s="4" t="s">
        <v>22</v>
      </c>
      <c r="J679" s="4" t="str" cm="1">
        <f t="array" ref="J679">_xlfn.IFS(K679&lt;30,"Young Adult",K679&lt;50,"Adult",K679&gt;=50,"Senior")</f>
        <v>Senior</v>
      </c>
      <c r="K679" s="4">
        <v>60</v>
      </c>
      <c r="L679" s="4" t="s">
        <v>26</v>
      </c>
      <c r="M679" s="4">
        <v>3</v>
      </c>
      <c r="N679" s="16">
        <v>300</v>
      </c>
      <c r="O679" s="17">
        <f>M679*N679</f>
        <v>900</v>
      </c>
      <c r="P679" s="13">
        <f>$O679*$U$4</f>
        <v>13.5</v>
      </c>
      <c r="Q679" s="13">
        <f>$O679*$U$5</f>
        <v>18</v>
      </c>
      <c r="R679" s="13" cm="1">
        <f t="array" ref="R679">_xlfn.IFS(B679=2023,O679*$U$4,B679=2024,O679*$U$5)</f>
        <v>13.5</v>
      </c>
    </row>
    <row r="680" spans="1:18">
      <c r="A680" s="2">
        <v>679</v>
      </c>
      <c r="B680" s="4">
        <f t="shared" si="51"/>
        <v>2023</v>
      </c>
      <c r="C680" s="4">
        <f t="shared" si="52"/>
        <v>1</v>
      </c>
      <c r="D680" s="4">
        <f t="shared" si="53"/>
        <v>11</v>
      </c>
      <c r="E680" s="4" t="str">
        <f t="shared" si="54"/>
        <v>Wednesday</v>
      </c>
      <c r="F680" s="4" t="str">
        <f t="shared" si="55"/>
        <v>January</v>
      </c>
      <c r="G680" s="3">
        <v>44937</v>
      </c>
      <c r="H680" s="4" t="s">
        <v>711</v>
      </c>
      <c r="I680" s="4" t="s">
        <v>22</v>
      </c>
      <c r="J680" s="4" t="str" cm="1">
        <f t="array" ref="J680">_xlfn.IFS(K680&lt;30,"Young Adult",K680&lt;50,"Adult",K680&gt;=50,"Senior")</f>
        <v>Young Adult</v>
      </c>
      <c r="K680" s="4">
        <v>18</v>
      </c>
      <c r="L680" s="4" t="s">
        <v>20</v>
      </c>
      <c r="M680" s="4">
        <v>3</v>
      </c>
      <c r="N680" s="16">
        <v>30</v>
      </c>
      <c r="O680" s="17">
        <f>M680*N680</f>
        <v>90</v>
      </c>
      <c r="P680" s="13">
        <f>$O680*$U$4</f>
        <v>1.3499999999999999</v>
      </c>
      <c r="Q680" s="13">
        <f>$O680*$U$5</f>
        <v>1.8</v>
      </c>
      <c r="R680" s="13" cm="1">
        <f t="array" ref="R680">_xlfn.IFS(B680=2023,O680*$U$4,B680=2024,O680*$U$5)</f>
        <v>1.3499999999999999</v>
      </c>
    </row>
    <row r="681" spans="1:18">
      <c r="A681" s="2">
        <v>680</v>
      </c>
      <c r="B681" s="4">
        <f t="shared" si="51"/>
        <v>2023</v>
      </c>
      <c r="C681" s="4">
        <f t="shared" si="52"/>
        <v>10</v>
      </c>
      <c r="D681" s="4">
        <f t="shared" si="53"/>
        <v>22</v>
      </c>
      <c r="E681" s="4" t="str">
        <f t="shared" si="54"/>
        <v>Sunday</v>
      </c>
      <c r="F681" s="4" t="str">
        <f t="shared" si="55"/>
        <v>October</v>
      </c>
      <c r="G681" s="3">
        <v>45221</v>
      </c>
      <c r="H681" s="4" t="s">
        <v>712</v>
      </c>
      <c r="I681" s="4" t="s">
        <v>22</v>
      </c>
      <c r="J681" s="4" t="str" cm="1">
        <f t="array" ref="J681">_xlfn.IFS(K681&lt;30,"Young Adult",K681&lt;50,"Adult",K681&gt;=50,"Senior")</f>
        <v>Senior</v>
      </c>
      <c r="K681" s="4">
        <v>53</v>
      </c>
      <c r="L681" s="4" t="s">
        <v>23</v>
      </c>
      <c r="M681" s="4">
        <v>3</v>
      </c>
      <c r="N681" s="16">
        <v>300</v>
      </c>
      <c r="O681" s="17">
        <f>M681*N681</f>
        <v>900</v>
      </c>
      <c r="P681" s="13">
        <f>$O681*$U$4</f>
        <v>13.5</v>
      </c>
      <c r="Q681" s="13">
        <f>$O681*$U$5</f>
        <v>18</v>
      </c>
      <c r="R681" s="13" cm="1">
        <f t="array" ref="R681">_xlfn.IFS(B681=2023,O681*$U$4,B681=2024,O681*$U$5)</f>
        <v>13.5</v>
      </c>
    </row>
    <row r="682" spans="1:18">
      <c r="A682" s="2">
        <v>681</v>
      </c>
      <c r="B682" s="4">
        <f t="shared" si="51"/>
        <v>2023</v>
      </c>
      <c r="C682" s="4">
        <f t="shared" si="52"/>
        <v>7</v>
      </c>
      <c r="D682" s="4">
        <f t="shared" si="53"/>
        <v>14</v>
      </c>
      <c r="E682" s="4" t="str">
        <f t="shared" si="54"/>
        <v>Friday</v>
      </c>
      <c r="F682" s="4" t="str">
        <f t="shared" si="55"/>
        <v>July</v>
      </c>
      <c r="G682" s="3">
        <v>45121</v>
      </c>
      <c r="H682" s="4" t="s">
        <v>713</v>
      </c>
      <c r="I682" s="4" t="s">
        <v>22</v>
      </c>
      <c r="J682" s="4" t="str" cm="1">
        <f t="array" ref="J682">_xlfn.IFS(K682&lt;30,"Young Adult",K682&lt;50,"Adult",K682&gt;=50,"Senior")</f>
        <v>Adult</v>
      </c>
      <c r="K682" s="4">
        <v>43</v>
      </c>
      <c r="L682" s="4" t="s">
        <v>26</v>
      </c>
      <c r="M682" s="4">
        <v>2</v>
      </c>
      <c r="N682" s="16">
        <v>30</v>
      </c>
      <c r="O682" s="17">
        <f>M682*N682</f>
        <v>60</v>
      </c>
      <c r="P682" s="13">
        <f>$O682*$U$4</f>
        <v>0.89999999999999991</v>
      </c>
      <c r="Q682" s="13">
        <f>$O682*$U$5</f>
        <v>1.2</v>
      </c>
      <c r="R682" s="13" cm="1">
        <f t="array" ref="R682">_xlfn.IFS(B682=2023,O682*$U$4,B682=2024,O682*$U$5)</f>
        <v>0.89999999999999991</v>
      </c>
    </row>
    <row r="683" spans="1:18">
      <c r="A683" s="2">
        <v>682</v>
      </c>
      <c r="B683" s="4">
        <f t="shared" si="51"/>
        <v>2023</v>
      </c>
      <c r="C683" s="4">
        <f t="shared" si="52"/>
        <v>9</v>
      </c>
      <c r="D683" s="4">
        <f t="shared" si="53"/>
        <v>2</v>
      </c>
      <c r="E683" s="4" t="str">
        <f t="shared" si="54"/>
        <v>Saturday</v>
      </c>
      <c r="F683" s="4" t="str">
        <f t="shared" si="55"/>
        <v>September</v>
      </c>
      <c r="G683" s="3">
        <v>45171</v>
      </c>
      <c r="H683" s="4" t="s">
        <v>714</v>
      </c>
      <c r="I683" s="4" t="s">
        <v>19</v>
      </c>
      <c r="J683" s="4" t="str" cm="1">
        <f t="array" ref="J683">_xlfn.IFS(K683&lt;30,"Young Adult",K683&lt;50,"Adult",K683&gt;=50,"Senior")</f>
        <v>Adult</v>
      </c>
      <c r="K683" s="4">
        <v>46</v>
      </c>
      <c r="L683" s="4" t="s">
        <v>20</v>
      </c>
      <c r="M683" s="4">
        <v>4</v>
      </c>
      <c r="N683" s="16">
        <v>300</v>
      </c>
      <c r="O683" s="17">
        <f>M683*N683</f>
        <v>1200</v>
      </c>
      <c r="P683" s="13">
        <f>$O683*$U$4</f>
        <v>18</v>
      </c>
      <c r="Q683" s="13">
        <f>$O683*$U$5</f>
        <v>24</v>
      </c>
      <c r="R683" s="13" cm="1">
        <f t="array" ref="R683">_xlfn.IFS(B683=2023,O683*$U$4,B683=2024,O683*$U$5)</f>
        <v>18</v>
      </c>
    </row>
    <row r="684" spans="1:18">
      <c r="A684" s="2">
        <v>683</v>
      </c>
      <c r="B684" s="4">
        <f t="shared" si="51"/>
        <v>2023</v>
      </c>
      <c r="C684" s="4">
        <f t="shared" si="52"/>
        <v>1</v>
      </c>
      <c r="D684" s="4">
        <f t="shared" si="53"/>
        <v>4</v>
      </c>
      <c r="E684" s="4" t="str">
        <f t="shared" si="54"/>
        <v>Wednesday</v>
      </c>
      <c r="F684" s="4" t="str">
        <f t="shared" si="55"/>
        <v>January</v>
      </c>
      <c r="G684" s="3">
        <v>44930</v>
      </c>
      <c r="H684" s="4" t="s">
        <v>715</v>
      </c>
      <c r="I684" s="4" t="s">
        <v>19</v>
      </c>
      <c r="J684" s="4" t="str" cm="1">
        <f t="array" ref="J684">_xlfn.IFS(K684&lt;30,"Young Adult",K684&lt;50,"Adult",K684&gt;=50,"Senior")</f>
        <v>Adult</v>
      </c>
      <c r="K684" s="4">
        <v>38</v>
      </c>
      <c r="L684" s="4" t="s">
        <v>20</v>
      </c>
      <c r="M684" s="4">
        <v>2</v>
      </c>
      <c r="N684" s="16">
        <v>500</v>
      </c>
      <c r="O684" s="17">
        <f>M684*N684</f>
        <v>1000</v>
      </c>
      <c r="P684" s="13">
        <f>$O684*$U$4</f>
        <v>15</v>
      </c>
      <c r="Q684" s="13">
        <f>$O684*$U$5</f>
        <v>20</v>
      </c>
      <c r="R684" s="13" cm="1">
        <f t="array" ref="R684">_xlfn.IFS(B684=2023,O684*$U$4,B684=2024,O684*$U$5)</f>
        <v>15</v>
      </c>
    </row>
    <row r="685" spans="1:18">
      <c r="A685" s="2">
        <v>684</v>
      </c>
      <c r="B685" s="4">
        <f t="shared" si="51"/>
        <v>2023</v>
      </c>
      <c r="C685" s="4">
        <f t="shared" si="52"/>
        <v>6</v>
      </c>
      <c r="D685" s="4">
        <f t="shared" si="53"/>
        <v>30</v>
      </c>
      <c r="E685" s="4" t="str">
        <f t="shared" si="54"/>
        <v>Friday</v>
      </c>
      <c r="F685" s="4" t="str">
        <f t="shared" si="55"/>
        <v>June</v>
      </c>
      <c r="G685" s="3">
        <v>45107</v>
      </c>
      <c r="H685" s="4" t="s">
        <v>716</v>
      </c>
      <c r="I685" s="4" t="s">
        <v>22</v>
      </c>
      <c r="J685" s="4" t="str" cm="1">
        <f t="array" ref="J685">_xlfn.IFS(K685&lt;30,"Young Adult",K685&lt;50,"Adult",K685&gt;=50,"Senior")</f>
        <v>Young Adult</v>
      </c>
      <c r="K685" s="4">
        <v>28</v>
      </c>
      <c r="L685" s="4" t="s">
        <v>23</v>
      </c>
      <c r="M685" s="4">
        <v>2</v>
      </c>
      <c r="N685" s="16">
        <v>500</v>
      </c>
      <c r="O685" s="17">
        <f>M685*N685</f>
        <v>1000</v>
      </c>
      <c r="P685" s="13">
        <f>$O685*$U$4</f>
        <v>15</v>
      </c>
      <c r="Q685" s="13">
        <f>$O685*$U$5</f>
        <v>20</v>
      </c>
      <c r="R685" s="13" cm="1">
        <f t="array" ref="R685">_xlfn.IFS(B685=2023,O685*$U$4,B685=2024,O685*$U$5)</f>
        <v>15</v>
      </c>
    </row>
    <row r="686" spans="1:18">
      <c r="A686" s="2">
        <v>685</v>
      </c>
      <c r="B686" s="4">
        <f t="shared" si="51"/>
        <v>2023</v>
      </c>
      <c r="C686" s="4">
        <f t="shared" si="52"/>
        <v>6</v>
      </c>
      <c r="D686" s="4">
        <f t="shared" si="53"/>
        <v>2</v>
      </c>
      <c r="E686" s="4" t="str">
        <f t="shared" si="54"/>
        <v>Friday</v>
      </c>
      <c r="F686" s="4" t="str">
        <f t="shared" si="55"/>
        <v>June</v>
      </c>
      <c r="G686" s="3">
        <v>45079</v>
      </c>
      <c r="H686" s="4" t="s">
        <v>717</v>
      </c>
      <c r="I686" s="4" t="s">
        <v>19</v>
      </c>
      <c r="J686" s="4" t="str" cm="1">
        <f t="array" ref="J686">_xlfn.IFS(K686&lt;30,"Young Adult",K686&lt;50,"Adult",K686&gt;=50,"Senior")</f>
        <v>Senior</v>
      </c>
      <c r="K686" s="4">
        <v>57</v>
      </c>
      <c r="L686" s="4" t="s">
        <v>26</v>
      </c>
      <c r="M686" s="4">
        <v>2</v>
      </c>
      <c r="N686" s="16">
        <v>25</v>
      </c>
      <c r="O686" s="17">
        <f>M686*N686</f>
        <v>50</v>
      </c>
      <c r="P686" s="13">
        <f>$O686*$U$4</f>
        <v>0.75</v>
      </c>
      <c r="Q686" s="13">
        <f>$O686*$U$5</f>
        <v>1</v>
      </c>
      <c r="R686" s="13" cm="1">
        <f t="array" ref="R686">_xlfn.IFS(B686=2023,O686*$U$4,B686=2024,O686*$U$5)</f>
        <v>0.75</v>
      </c>
    </row>
    <row r="687" spans="1:18">
      <c r="A687" s="2">
        <v>686</v>
      </c>
      <c r="B687" s="4">
        <f t="shared" si="51"/>
        <v>2023</v>
      </c>
      <c r="C687" s="4">
        <f t="shared" si="52"/>
        <v>7</v>
      </c>
      <c r="D687" s="4">
        <f t="shared" si="53"/>
        <v>19</v>
      </c>
      <c r="E687" s="4" t="str">
        <f t="shared" si="54"/>
        <v>Wednesday</v>
      </c>
      <c r="F687" s="4" t="str">
        <f t="shared" si="55"/>
        <v>July</v>
      </c>
      <c r="G687" s="3">
        <v>45126</v>
      </c>
      <c r="H687" s="4" t="s">
        <v>718</v>
      </c>
      <c r="I687" s="4" t="s">
        <v>22</v>
      </c>
      <c r="J687" s="4" t="str" cm="1">
        <f t="array" ref="J687">_xlfn.IFS(K687&lt;30,"Young Adult",K687&lt;50,"Adult",K687&gt;=50,"Senior")</f>
        <v>Young Adult</v>
      </c>
      <c r="K687" s="4">
        <v>28</v>
      </c>
      <c r="L687" s="4" t="s">
        <v>26</v>
      </c>
      <c r="M687" s="4">
        <v>4</v>
      </c>
      <c r="N687" s="16">
        <v>50</v>
      </c>
      <c r="O687" s="17">
        <f>M687*N687</f>
        <v>200</v>
      </c>
      <c r="P687" s="13">
        <f>$O687*$U$4</f>
        <v>3</v>
      </c>
      <c r="Q687" s="13">
        <f>$O687*$U$5</f>
        <v>4</v>
      </c>
      <c r="R687" s="13" cm="1">
        <f t="array" ref="R687">_xlfn.IFS(B687=2023,O687*$U$4,B687=2024,O687*$U$5)</f>
        <v>3</v>
      </c>
    </row>
    <row r="688" spans="1:18">
      <c r="A688" s="2">
        <v>687</v>
      </c>
      <c r="B688" s="4">
        <f t="shared" si="51"/>
        <v>2023</v>
      </c>
      <c r="C688" s="4">
        <f t="shared" si="52"/>
        <v>8</v>
      </c>
      <c r="D688" s="4">
        <f t="shared" si="53"/>
        <v>3</v>
      </c>
      <c r="E688" s="4" t="str">
        <f t="shared" si="54"/>
        <v>Thursday</v>
      </c>
      <c r="F688" s="4" t="str">
        <f t="shared" si="55"/>
        <v>August</v>
      </c>
      <c r="G688" s="3">
        <v>45141</v>
      </c>
      <c r="H688" s="4" t="s">
        <v>719</v>
      </c>
      <c r="I688" s="4" t="s">
        <v>22</v>
      </c>
      <c r="J688" s="4" t="str" cm="1">
        <f t="array" ref="J688">_xlfn.IFS(K688&lt;30,"Young Adult",K688&lt;50,"Adult",K688&gt;=50,"Senior")</f>
        <v>Senior</v>
      </c>
      <c r="K688" s="4">
        <v>53</v>
      </c>
      <c r="L688" s="4" t="s">
        <v>26</v>
      </c>
      <c r="M688" s="4">
        <v>1</v>
      </c>
      <c r="N688" s="16">
        <v>300</v>
      </c>
      <c r="O688" s="17">
        <f>M688*N688</f>
        <v>300</v>
      </c>
      <c r="P688" s="13">
        <f>$O688*$U$4</f>
        <v>4.5</v>
      </c>
      <c r="Q688" s="13">
        <f>$O688*$U$5</f>
        <v>6</v>
      </c>
      <c r="R688" s="13" cm="1">
        <f t="array" ref="R688">_xlfn.IFS(B688=2023,O688*$U$4,B688=2024,O688*$U$5)</f>
        <v>4.5</v>
      </c>
    </row>
    <row r="689" spans="1:18">
      <c r="A689" s="2">
        <v>688</v>
      </c>
      <c r="B689" s="4">
        <f t="shared" si="51"/>
        <v>2023</v>
      </c>
      <c r="C689" s="4">
        <f t="shared" si="52"/>
        <v>10</v>
      </c>
      <c r="D689" s="4">
        <f t="shared" si="53"/>
        <v>3</v>
      </c>
      <c r="E689" s="4" t="str">
        <f t="shared" si="54"/>
        <v>Tuesday</v>
      </c>
      <c r="F689" s="4" t="str">
        <f t="shared" si="55"/>
        <v>October</v>
      </c>
      <c r="G689" s="3">
        <v>45202</v>
      </c>
      <c r="H689" s="4" t="s">
        <v>720</v>
      </c>
      <c r="I689" s="4" t="s">
        <v>19</v>
      </c>
      <c r="J689" s="4" t="str" cm="1">
        <f t="array" ref="J689">_xlfn.IFS(K689&lt;30,"Young Adult",K689&lt;50,"Adult",K689&gt;=50,"Senior")</f>
        <v>Senior</v>
      </c>
      <c r="K689" s="4">
        <v>56</v>
      </c>
      <c r="L689" s="4" t="s">
        <v>23</v>
      </c>
      <c r="M689" s="4">
        <v>4</v>
      </c>
      <c r="N689" s="16">
        <v>25</v>
      </c>
      <c r="O689" s="17">
        <f>M689*N689</f>
        <v>100</v>
      </c>
      <c r="P689" s="13">
        <f>$O689*$U$4</f>
        <v>1.5</v>
      </c>
      <c r="Q689" s="13">
        <f>$O689*$U$5</f>
        <v>2</v>
      </c>
      <c r="R689" s="13" cm="1">
        <f t="array" ref="R689">_xlfn.IFS(B689=2023,O689*$U$4,B689=2024,O689*$U$5)</f>
        <v>1.5</v>
      </c>
    </row>
    <row r="690" spans="1:18">
      <c r="A690" s="2">
        <v>689</v>
      </c>
      <c r="B690" s="4">
        <f t="shared" si="51"/>
        <v>2023</v>
      </c>
      <c r="C690" s="4">
        <f t="shared" si="52"/>
        <v>10</v>
      </c>
      <c r="D690" s="4">
        <f t="shared" si="53"/>
        <v>7</v>
      </c>
      <c r="E690" s="4" t="str">
        <f t="shared" si="54"/>
        <v>Saturday</v>
      </c>
      <c r="F690" s="4" t="str">
        <f t="shared" si="55"/>
        <v>October</v>
      </c>
      <c r="G690" s="3">
        <v>45206</v>
      </c>
      <c r="H690" s="4" t="s">
        <v>721</v>
      </c>
      <c r="I690" s="4" t="s">
        <v>19</v>
      </c>
      <c r="J690" s="4" t="str" cm="1">
        <f t="array" ref="J690">_xlfn.IFS(K690&lt;30,"Young Adult",K690&lt;50,"Adult",K690&gt;=50,"Senior")</f>
        <v>Senior</v>
      </c>
      <c r="K690" s="4">
        <v>57</v>
      </c>
      <c r="L690" s="4" t="s">
        <v>26</v>
      </c>
      <c r="M690" s="4">
        <v>2</v>
      </c>
      <c r="N690" s="16">
        <v>50</v>
      </c>
      <c r="O690" s="17">
        <f>M690*N690</f>
        <v>100</v>
      </c>
      <c r="P690" s="13">
        <f>$O690*$U$4</f>
        <v>1.5</v>
      </c>
      <c r="Q690" s="13">
        <f>$O690*$U$5</f>
        <v>2</v>
      </c>
      <c r="R690" s="13" cm="1">
        <f t="array" ref="R690">_xlfn.IFS(B690=2023,O690*$U$4,B690=2024,O690*$U$5)</f>
        <v>1.5</v>
      </c>
    </row>
    <row r="691" spans="1:18">
      <c r="A691" s="2">
        <v>690</v>
      </c>
      <c r="B691" s="4">
        <f t="shared" si="51"/>
        <v>2023</v>
      </c>
      <c r="C691" s="4">
        <f t="shared" si="52"/>
        <v>11</v>
      </c>
      <c r="D691" s="4">
        <f t="shared" si="53"/>
        <v>5</v>
      </c>
      <c r="E691" s="4" t="str">
        <f t="shared" si="54"/>
        <v>Sunday</v>
      </c>
      <c r="F691" s="4" t="str">
        <f t="shared" si="55"/>
        <v>November</v>
      </c>
      <c r="G691" s="3">
        <v>45235</v>
      </c>
      <c r="H691" s="4" t="s">
        <v>722</v>
      </c>
      <c r="I691" s="4" t="s">
        <v>22</v>
      </c>
      <c r="J691" s="4" t="str" cm="1">
        <f t="array" ref="J691">_xlfn.IFS(K691&lt;30,"Young Adult",K691&lt;50,"Adult",K691&gt;=50,"Senior")</f>
        <v>Senior</v>
      </c>
      <c r="K691" s="4">
        <v>52</v>
      </c>
      <c r="L691" s="4" t="s">
        <v>23</v>
      </c>
      <c r="M691" s="4">
        <v>3</v>
      </c>
      <c r="N691" s="16">
        <v>300</v>
      </c>
      <c r="O691" s="17">
        <f>M691*N691</f>
        <v>900</v>
      </c>
      <c r="P691" s="13">
        <f>$O691*$U$4</f>
        <v>13.5</v>
      </c>
      <c r="Q691" s="13">
        <f>$O691*$U$5</f>
        <v>18</v>
      </c>
      <c r="R691" s="13" cm="1">
        <f t="array" ref="R691">_xlfn.IFS(B691=2023,O691*$U$4,B691=2024,O691*$U$5)</f>
        <v>13.5</v>
      </c>
    </row>
    <row r="692" spans="1:18">
      <c r="A692" s="2">
        <v>691</v>
      </c>
      <c r="B692" s="4">
        <f t="shared" si="51"/>
        <v>2023</v>
      </c>
      <c r="C692" s="4">
        <f t="shared" si="52"/>
        <v>4</v>
      </c>
      <c r="D692" s="4">
        <f t="shared" si="53"/>
        <v>23</v>
      </c>
      <c r="E692" s="4" t="str">
        <f t="shared" si="54"/>
        <v>Sunday</v>
      </c>
      <c r="F692" s="4" t="str">
        <f t="shared" si="55"/>
        <v>April</v>
      </c>
      <c r="G692" s="3">
        <v>45039</v>
      </c>
      <c r="H692" s="4" t="s">
        <v>723</v>
      </c>
      <c r="I692" s="4" t="s">
        <v>22</v>
      </c>
      <c r="J692" s="4" t="str" cm="1">
        <f t="array" ref="J692">_xlfn.IFS(K692&lt;30,"Young Adult",K692&lt;50,"Adult",K692&gt;=50,"Senior")</f>
        <v>Senior</v>
      </c>
      <c r="K692" s="4">
        <v>51</v>
      </c>
      <c r="L692" s="4" t="s">
        <v>23</v>
      </c>
      <c r="M692" s="4">
        <v>3</v>
      </c>
      <c r="N692" s="16">
        <v>30</v>
      </c>
      <c r="O692" s="17">
        <f>M692*N692</f>
        <v>90</v>
      </c>
      <c r="P692" s="13">
        <f>$O692*$U$4</f>
        <v>1.3499999999999999</v>
      </c>
      <c r="Q692" s="13">
        <f>$O692*$U$5</f>
        <v>1.8</v>
      </c>
      <c r="R692" s="13" cm="1">
        <f t="array" ref="R692">_xlfn.IFS(B692=2023,O692*$U$4,B692=2024,O692*$U$5)</f>
        <v>1.3499999999999999</v>
      </c>
    </row>
    <row r="693" spans="1:18">
      <c r="A693" s="2">
        <v>692</v>
      </c>
      <c r="B693" s="4">
        <f t="shared" si="51"/>
        <v>2023</v>
      </c>
      <c r="C693" s="4">
        <f t="shared" si="52"/>
        <v>9</v>
      </c>
      <c r="D693" s="4">
        <f t="shared" si="53"/>
        <v>7</v>
      </c>
      <c r="E693" s="4" t="str">
        <f t="shared" si="54"/>
        <v>Thursday</v>
      </c>
      <c r="F693" s="4" t="str">
        <f t="shared" si="55"/>
        <v>September</v>
      </c>
      <c r="G693" s="3">
        <v>45176</v>
      </c>
      <c r="H693" s="4" t="s">
        <v>724</v>
      </c>
      <c r="I693" s="4" t="s">
        <v>22</v>
      </c>
      <c r="J693" s="4" t="str" cm="1">
        <f t="array" ref="J693">_xlfn.IFS(K693&lt;30,"Young Adult",K693&lt;50,"Adult",K693&gt;=50,"Senior")</f>
        <v>Senior</v>
      </c>
      <c r="K693" s="4">
        <v>64</v>
      </c>
      <c r="L693" s="4" t="s">
        <v>23</v>
      </c>
      <c r="M693" s="4">
        <v>2</v>
      </c>
      <c r="N693" s="16">
        <v>50</v>
      </c>
      <c r="O693" s="17">
        <f>M693*N693</f>
        <v>100</v>
      </c>
      <c r="P693" s="13">
        <f>$O693*$U$4</f>
        <v>1.5</v>
      </c>
      <c r="Q693" s="13">
        <f>$O693*$U$5</f>
        <v>2</v>
      </c>
      <c r="R693" s="13" cm="1">
        <f t="array" ref="R693">_xlfn.IFS(B693=2023,O693*$U$4,B693=2024,O693*$U$5)</f>
        <v>1.5</v>
      </c>
    </row>
    <row r="694" spans="1:18">
      <c r="A694" s="2">
        <v>693</v>
      </c>
      <c r="B694" s="4">
        <f t="shared" si="51"/>
        <v>2023</v>
      </c>
      <c r="C694" s="4">
        <f t="shared" si="52"/>
        <v>4</v>
      </c>
      <c r="D694" s="4">
        <f t="shared" si="53"/>
        <v>23</v>
      </c>
      <c r="E694" s="4" t="str">
        <f t="shared" si="54"/>
        <v>Sunday</v>
      </c>
      <c r="F694" s="4" t="str">
        <f t="shared" si="55"/>
        <v>April</v>
      </c>
      <c r="G694" s="3">
        <v>45039</v>
      </c>
      <c r="H694" s="4" t="s">
        <v>725</v>
      </c>
      <c r="I694" s="4" t="s">
        <v>19</v>
      </c>
      <c r="J694" s="4" t="str" cm="1">
        <f t="array" ref="J694">_xlfn.IFS(K694&lt;30,"Young Adult",K694&lt;50,"Adult",K694&gt;=50,"Senior")</f>
        <v>Adult</v>
      </c>
      <c r="K694" s="4">
        <v>41</v>
      </c>
      <c r="L694" s="4" t="s">
        <v>20</v>
      </c>
      <c r="M694" s="4">
        <v>3</v>
      </c>
      <c r="N694" s="16">
        <v>500</v>
      </c>
      <c r="O694" s="17">
        <f>M694*N694</f>
        <v>1500</v>
      </c>
      <c r="P694" s="13">
        <f>$O694*$U$4</f>
        <v>22.5</v>
      </c>
      <c r="Q694" s="13">
        <f>$O694*$U$5</f>
        <v>30</v>
      </c>
      <c r="R694" s="13" cm="1">
        <f t="array" ref="R694">_xlfn.IFS(B694=2023,O694*$U$4,B694=2024,O694*$U$5)</f>
        <v>22.5</v>
      </c>
    </row>
    <row r="695" spans="1:18">
      <c r="A695" s="2">
        <v>694</v>
      </c>
      <c r="B695" s="4">
        <f t="shared" si="51"/>
        <v>2023</v>
      </c>
      <c r="C695" s="4">
        <f t="shared" si="52"/>
        <v>5</v>
      </c>
      <c r="D695" s="4">
        <f t="shared" si="53"/>
        <v>20</v>
      </c>
      <c r="E695" s="4" t="str">
        <f t="shared" si="54"/>
        <v>Saturday</v>
      </c>
      <c r="F695" s="4" t="str">
        <f t="shared" si="55"/>
        <v>May</v>
      </c>
      <c r="G695" s="3">
        <v>45066</v>
      </c>
      <c r="H695" s="4" t="s">
        <v>726</v>
      </c>
      <c r="I695" s="4" t="s">
        <v>22</v>
      </c>
      <c r="J695" s="4" t="str" cm="1">
        <f t="array" ref="J695">_xlfn.IFS(K695&lt;30,"Young Adult",K695&lt;50,"Adult",K695&gt;=50,"Senior")</f>
        <v>Adult</v>
      </c>
      <c r="K695" s="4">
        <v>39</v>
      </c>
      <c r="L695" s="4" t="s">
        <v>26</v>
      </c>
      <c r="M695" s="4">
        <v>2</v>
      </c>
      <c r="N695" s="16">
        <v>25</v>
      </c>
      <c r="O695" s="17">
        <f>M695*N695</f>
        <v>50</v>
      </c>
      <c r="P695" s="13">
        <f>$O695*$U$4</f>
        <v>0.75</v>
      </c>
      <c r="Q695" s="13">
        <f>$O695*$U$5</f>
        <v>1</v>
      </c>
      <c r="R695" s="13" cm="1">
        <f t="array" ref="R695">_xlfn.IFS(B695=2023,O695*$U$4,B695=2024,O695*$U$5)</f>
        <v>0.75</v>
      </c>
    </row>
    <row r="696" spans="1:18">
      <c r="A696" s="2">
        <v>695</v>
      </c>
      <c r="B696" s="4">
        <f t="shared" si="51"/>
        <v>2023</v>
      </c>
      <c r="C696" s="4">
        <f t="shared" si="52"/>
        <v>8</v>
      </c>
      <c r="D696" s="4">
        <f t="shared" si="53"/>
        <v>12</v>
      </c>
      <c r="E696" s="4" t="str">
        <f t="shared" si="54"/>
        <v>Saturday</v>
      </c>
      <c r="F696" s="4" t="str">
        <f t="shared" si="55"/>
        <v>August</v>
      </c>
      <c r="G696" s="3">
        <v>45150</v>
      </c>
      <c r="H696" s="4" t="s">
        <v>727</v>
      </c>
      <c r="I696" s="4" t="s">
        <v>22</v>
      </c>
      <c r="J696" s="4" t="str" cm="1">
        <f t="array" ref="J696">_xlfn.IFS(K696&lt;30,"Young Adult",K696&lt;50,"Adult",K696&gt;=50,"Senior")</f>
        <v>Young Adult</v>
      </c>
      <c r="K696" s="4">
        <v>22</v>
      </c>
      <c r="L696" s="4" t="s">
        <v>26</v>
      </c>
      <c r="M696" s="4">
        <v>3</v>
      </c>
      <c r="N696" s="16">
        <v>50</v>
      </c>
      <c r="O696" s="17">
        <f>M696*N696</f>
        <v>150</v>
      </c>
      <c r="P696" s="13">
        <f>$O696*$U$4</f>
        <v>2.25</v>
      </c>
      <c r="Q696" s="13">
        <f>$O696*$U$5</f>
        <v>3</v>
      </c>
      <c r="R696" s="13" cm="1">
        <f t="array" ref="R696">_xlfn.IFS(B696=2023,O696*$U$4,B696=2024,O696*$U$5)</f>
        <v>2.25</v>
      </c>
    </row>
    <row r="697" spans="1:18">
      <c r="A697" s="2">
        <v>696</v>
      </c>
      <c r="B697" s="4">
        <f t="shared" si="51"/>
        <v>2023</v>
      </c>
      <c r="C697" s="4">
        <f t="shared" si="52"/>
        <v>9</v>
      </c>
      <c r="D697" s="4">
        <f t="shared" si="53"/>
        <v>6</v>
      </c>
      <c r="E697" s="4" t="str">
        <f t="shared" si="54"/>
        <v>Wednesday</v>
      </c>
      <c r="F697" s="4" t="str">
        <f t="shared" si="55"/>
        <v>September</v>
      </c>
      <c r="G697" s="3">
        <v>45175</v>
      </c>
      <c r="H697" s="4" t="s">
        <v>728</v>
      </c>
      <c r="I697" s="4" t="s">
        <v>22</v>
      </c>
      <c r="J697" s="4" t="str" cm="1">
        <f t="array" ref="J697">_xlfn.IFS(K697&lt;30,"Young Adult",K697&lt;50,"Adult",K697&gt;=50,"Senior")</f>
        <v>Senior</v>
      </c>
      <c r="K697" s="4">
        <v>50</v>
      </c>
      <c r="L697" s="4" t="s">
        <v>23</v>
      </c>
      <c r="M697" s="4">
        <v>4</v>
      </c>
      <c r="N697" s="16">
        <v>50</v>
      </c>
      <c r="O697" s="17">
        <f>M697*N697</f>
        <v>200</v>
      </c>
      <c r="P697" s="13">
        <f>$O697*$U$4</f>
        <v>3</v>
      </c>
      <c r="Q697" s="13">
        <f>$O697*$U$5</f>
        <v>4</v>
      </c>
      <c r="R697" s="13" cm="1">
        <f t="array" ref="R697">_xlfn.IFS(B697=2023,O697*$U$4,B697=2024,O697*$U$5)</f>
        <v>3</v>
      </c>
    </row>
    <row r="698" spans="1:18">
      <c r="A698" s="2">
        <v>697</v>
      </c>
      <c r="B698" s="4">
        <f t="shared" si="51"/>
        <v>2023</v>
      </c>
      <c r="C698" s="4">
        <f t="shared" si="52"/>
        <v>1</v>
      </c>
      <c r="D698" s="4">
        <f t="shared" si="53"/>
        <v>15</v>
      </c>
      <c r="E698" s="4" t="str">
        <f t="shared" si="54"/>
        <v>Sunday</v>
      </c>
      <c r="F698" s="4" t="str">
        <f t="shared" si="55"/>
        <v>January</v>
      </c>
      <c r="G698" s="3">
        <v>44941</v>
      </c>
      <c r="H698" s="4" t="s">
        <v>729</v>
      </c>
      <c r="I698" s="4" t="s">
        <v>19</v>
      </c>
      <c r="J698" s="4" t="str" cm="1">
        <f t="array" ref="J698">_xlfn.IFS(K698&lt;30,"Young Adult",K698&lt;50,"Adult",K698&gt;=50,"Senior")</f>
        <v>Senior</v>
      </c>
      <c r="K698" s="4">
        <v>53</v>
      </c>
      <c r="L698" s="4" t="s">
        <v>23</v>
      </c>
      <c r="M698" s="4">
        <v>1</v>
      </c>
      <c r="N698" s="16">
        <v>500</v>
      </c>
      <c r="O698" s="17">
        <f>M698*N698</f>
        <v>500</v>
      </c>
      <c r="P698" s="13">
        <f>$O698*$U$4</f>
        <v>7.5</v>
      </c>
      <c r="Q698" s="13">
        <f>$O698*$U$5</f>
        <v>10</v>
      </c>
      <c r="R698" s="13" cm="1">
        <f t="array" ref="R698">_xlfn.IFS(B698=2023,O698*$U$4,B698=2024,O698*$U$5)</f>
        <v>7.5</v>
      </c>
    </row>
    <row r="699" spans="1:18">
      <c r="A699" s="2">
        <v>698</v>
      </c>
      <c r="B699" s="4">
        <f t="shared" si="51"/>
        <v>2023</v>
      </c>
      <c r="C699" s="4">
        <f t="shared" si="52"/>
        <v>7</v>
      </c>
      <c r="D699" s="4">
        <f t="shared" si="53"/>
        <v>19</v>
      </c>
      <c r="E699" s="4" t="str">
        <f t="shared" si="54"/>
        <v>Wednesday</v>
      </c>
      <c r="F699" s="4" t="str">
        <f t="shared" si="55"/>
        <v>July</v>
      </c>
      <c r="G699" s="3">
        <v>45126</v>
      </c>
      <c r="H699" s="4" t="s">
        <v>730</v>
      </c>
      <c r="I699" s="4" t="s">
        <v>22</v>
      </c>
      <c r="J699" s="4" t="str" cm="1">
        <f t="array" ref="J699">_xlfn.IFS(K699&lt;30,"Young Adult",K699&lt;50,"Adult",K699&gt;=50,"Senior")</f>
        <v>Senior</v>
      </c>
      <c r="K699" s="4">
        <v>64</v>
      </c>
      <c r="L699" s="4" t="s">
        <v>26</v>
      </c>
      <c r="M699" s="4">
        <v>1</v>
      </c>
      <c r="N699" s="16">
        <v>300</v>
      </c>
      <c r="O699" s="17">
        <f>M699*N699</f>
        <v>300</v>
      </c>
      <c r="P699" s="13">
        <f>$O699*$U$4</f>
        <v>4.5</v>
      </c>
      <c r="Q699" s="13">
        <f>$O699*$U$5</f>
        <v>6</v>
      </c>
      <c r="R699" s="13" cm="1">
        <f t="array" ref="R699">_xlfn.IFS(B699=2023,O699*$U$4,B699=2024,O699*$U$5)</f>
        <v>4.5</v>
      </c>
    </row>
    <row r="700" spans="1:18">
      <c r="A700" s="2">
        <v>699</v>
      </c>
      <c r="B700" s="4">
        <f t="shared" si="51"/>
        <v>2023</v>
      </c>
      <c r="C700" s="4">
        <f t="shared" si="52"/>
        <v>6</v>
      </c>
      <c r="D700" s="4">
        <f t="shared" si="53"/>
        <v>22</v>
      </c>
      <c r="E700" s="4" t="str">
        <f t="shared" si="54"/>
        <v>Thursday</v>
      </c>
      <c r="F700" s="4" t="str">
        <f t="shared" si="55"/>
        <v>June</v>
      </c>
      <c r="G700" s="3">
        <v>45099</v>
      </c>
      <c r="H700" s="4" t="s">
        <v>731</v>
      </c>
      <c r="I700" s="4" t="s">
        <v>22</v>
      </c>
      <c r="J700" s="4" t="str" cm="1">
        <f t="array" ref="J700">_xlfn.IFS(K700&lt;30,"Young Adult",K700&lt;50,"Adult",K700&gt;=50,"Senior")</f>
        <v>Adult</v>
      </c>
      <c r="K700" s="4">
        <v>37</v>
      </c>
      <c r="L700" s="4" t="s">
        <v>23</v>
      </c>
      <c r="M700" s="4">
        <v>4</v>
      </c>
      <c r="N700" s="16">
        <v>30</v>
      </c>
      <c r="O700" s="17">
        <f>M700*N700</f>
        <v>120</v>
      </c>
      <c r="P700" s="13">
        <f>$O700*$U$4</f>
        <v>1.7999999999999998</v>
      </c>
      <c r="Q700" s="13">
        <f>$O700*$U$5</f>
        <v>2.4</v>
      </c>
      <c r="R700" s="13" cm="1">
        <f t="array" ref="R700">_xlfn.IFS(B700=2023,O700*$U$4,B700=2024,O700*$U$5)</f>
        <v>1.7999999999999998</v>
      </c>
    </row>
    <row r="701" spans="1:18">
      <c r="A701" s="2">
        <v>700</v>
      </c>
      <c r="B701" s="4">
        <f t="shared" si="51"/>
        <v>2023</v>
      </c>
      <c r="C701" s="4">
        <f t="shared" si="52"/>
        <v>12</v>
      </c>
      <c r="D701" s="4">
        <f t="shared" si="53"/>
        <v>9</v>
      </c>
      <c r="E701" s="4" t="str">
        <f t="shared" si="54"/>
        <v>Saturday</v>
      </c>
      <c r="F701" s="4" t="str">
        <f t="shared" si="55"/>
        <v>December</v>
      </c>
      <c r="G701" s="3">
        <v>45269</v>
      </c>
      <c r="H701" s="4" t="s">
        <v>732</v>
      </c>
      <c r="I701" s="4" t="s">
        <v>19</v>
      </c>
      <c r="J701" s="4" t="str" cm="1">
        <f t="array" ref="J701">_xlfn.IFS(K701&lt;30,"Young Adult",K701&lt;50,"Adult",K701&gt;=50,"Senior")</f>
        <v>Adult</v>
      </c>
      <c r="K701" s="4">
        <v>36</v>
      </c>
      <c r="L701" s="4" t="s">
        <v>26</v>
      </c>
      <c r="M701" s="4">
        <v>4</v>
      </c>
      <c r="N701" s="16">
        <v>500</v>
      </c>
      <c r="O701" s="17">
        <f>M701*N701</f>
        <v>2000</v>
      </c>
      <c r="P701" s="13">
        <f>$O701*$U$4</f>
        <v>30</v>
      </c>
      <c r="Q701" s="13">
        <f>$O701*$U$5</f>
        <v>40</v>
      </c>
      <c r="R701" s="13" cm="1">
        <f t="array" ref="R701">_xlfn.IFS(B701=2023,O701*$U$4,B701=2024,O701*$U$5)</f>
        <v>30</v>
      </c>
    </row>
    <row r="702" spans="1:18">
      <c r="A702" s="2">
        <v>701</v>
      </c>
      <c r="B702" s="4">
        <f t="shared" si="51"/>
        <v>2023</v>
      </c>
      <c r="C702" s="4">
        <f t="shared" si="52"/>
        <v>12</v>
      </c>
      <c r="D702" s="4">
        <f t="shared" si="53"/>
        <v>14</v>
      </c>
      <c r="E702" s="4" t="str">
        <f t="shared" si="54"/>
        <v>Thursday</v>
      </c>
      <c r="F702" s="4" t="str">
        <f t="shared" si="55"/>
        <v>December</v>
      </c>
      <c r="G702" s="3">
        <v>45274</v>
      </c>
      <c r="H702" s="4" t="s">
        <v>733</v>
      </c>
      <c r="I702" s="4" t="s">
        <v>22</v>
      </c>
      <c r="J702" s="4" t="str" cm="1">
        <f t="array" ref="J702">_xlfn.IFS(K702&lt;30,"Young Adult",K702&lt;50,"Adult",K702&gt;=50,"Senior")</f>
        <v>Senior</v>
      </c>
      <c r="K702" s="4">
        <v>52</v>
      </c>
      <c r="L702" s="4" t="s">
        <v>20</v>
      </c>
      <c r="M702" s="4">
        <v>2</v>
      </c>
      <c r="N702" s="16">
        <v>30</v>
      </c>
      <c r="O702" s="17">
        <f>M702*N702</f>
        <v>60</v>
      </c>
      <c r="P702" s="13">
        <f>$O702*$U$4</f>
        <v>0.89999999999999991</v>
      </c>
      <c r="Q702" s="13">
        <f>$O702*$U$5</f>
        <v>1.2</v>
      </c>
      <c r="R702" s="13" cm="1">
        <f t="array" ref="R702">_xlfn.IFS(B702=2023,O702*$U$4,B702=2024,O702*$U$5)</f>
        <v>0.89999999999999991</v>
      </c>
    </row>
    <row r="703" spans="1:18">
      <c r="A703" s="2">
        <v>702</v>
      </c>
      <c r="B703" s="4">
        <f t="shared" si="51"/>
        <v>2023</v>
      </c>
      <c r="C703" s="4">
        <f t="shared" si="52"/>
        <v>7</v>
      </c>
      <c r="D703" s="4">
        <f t="shared" si="53"/>
        <v>27</v>
      </c>
      <c r="E703" s="4" t="str">
        <f t="shared" si="54"/>
        <v>Thursday</v>
      </c>
      <c r="F703" s="4" t="str">
        <f t="shared" si="55"/>
        <v>July</v>
      </c>
      <c r="G703" s="3">
        <v>45134</v>
      </c>
      <c r="H703" s="4" t="s">
        <v>734</v>
      </c>
      <c r="I703" s="4" t="s">
        <v>22</v>
      </c>
      <c r="J703" s="4" t="str" cm="1">
        <f t="array" ref="J703">_xlfn.IFS(K703&lt;30,"Young Adult",K703&lt;50,"Adult",K703&gt;=50,"Senior")</f>
        <v>Senior</v>
      </c>
      <c r="K703" s="4">
        <v>60</v>
      </c>
      <c r="L703" s="4" t="s">
        <v>23</v>
      </c>
      <c r="M703" s="4">
        <v>2</v>
      </c>
      <c r="N703" s="16">
        <v>300</v>
      </c>
      <c r="O703" s="17">
        <f>M703*N703</f>
        <v>600</v>
      </c>
      <c r="P703" s="13">
        <f>$O703*$U$4</f>
        <v>9</v>
      </c>
      <c r="Q703" s="13">
        <f>$O703*$U$5</f>
        <v>12</v>
      </c>
      <c r="R703" s="13" cm="1">
        <f t="array" ref="R703">_xlfn.IFS(B703=2023,O703*$U$4,B703=2024,O703*$U$5)</f>
        <v>9</v>
      </c>
    </row>
    <row r="704" spans="1:18">
      <c r="A704" s="2">
        <v>703</v>
      </c>
      <c r="B704" s="4">
        <f t="shared" si="51"/>
        <v>2023</v>
      </c>
      <c r="C704" s="4">
        <f t="shared" si="52"/>
        <v>3</v>
      </c>
      <c r="D704" s="4">
        <f t="shared" si="53"/>
        <v>26</v>
      </c>
      <c r="E704" s="4" t="str">
        <f t="shared" si="54"/>
        <v>Sunday</v>
      </c>
      <c r="F704" s="4" t="str">
        <f t="shared" si="55"/>
        <v>March</v>
      </c>
      <c r="G704" s="3">
        <v>45011</v>
      </c>
      <c r="H704" s="4" t="s">
        <v>735</v>
      </c>
      <c r="I704" s="4" t="s">
        <v>19</v>
      </c>
      <c r="J704" s="4" t="str" cm="1">
        <f t="array" ref="J704">_xlfn.IFS(K704&lt;30,"Young Adult",K704&lt;50,"Adult",K704&gt;=50,"Senior")</f>
        <v>Adult</v>
      </c>
      <c r="K704" s="4">
        <v>34</v>
      </c>
      <c r="L704" s="4" t="s">
        <v>26</v>
      </c>
      <c r="M704" s="4">
        <v>2</v>
      </c>
      <c r="N704" s="16">
        <v>50</v>
      </c>
      <c r="O704" s="17">
        <f>M704*N704</f>
        <v>100</v>
      </c>
      <c r="P704" s="13">
        <f>$O704*$U$4</f>
        <v>1.5</v>
      </c>
      <c r="Q704" s="13">
        <f>$O704*$U$5</f>
        <v>2</v>
      </c>
      <c r="R704" s="13" cm="1">
        <f t="array" ref="R704">_xlfn.IFS(B704=2023,O704*$U$4,B704=2024,O704*$U$5)</f>
        <v>1.5</v>
      </c>
    </row>
    <row r="705" spans="1:18">
      <c r="A705" s="2">
        <v>704</v>
      </c>
      <c r="B705" s="4">
        <f t="shared" si="51"/>
        <v>2023</v>
      </c>
      <c r="C705" s="4">
        <f t="shared" si="52"/>
        <v>8</v>
      </c>
      <c r="D705" s="4">
        <f t="shared" si="53"/>
        <v>28</v>
      </c>
      <c r="E705" s="4" t="str">
        <f t="shared" si="54"/>
        <v>Monday</v>
      </c>
      <c r="F705" s="4" t="str">
        <f t="shared" si="55"/>
        <v>August</v>
      </c>
      <c r="G705" s="3">
        <v>45166</v>
      </c>
      <c r="H705" s="4" t="s">
        <v>736</v>
      </c>
      <c r="I705" s="4" t="s">
        <v>22</v>
      </c>
      <c r="J705" s="4" t="str" cm="1">
        <f t="array" ref="J705">_xlfn.IFS(K705&lt;30,"Young Adult",K705&lt;50,"Adult",K705&gt;=50,"Senior")</f>
        <v>Senior</v>
      </c>
      <c r="K705" s="4">
        <v>62</v>
      </c>
      <c r="L705" s="4" t="s">
        <v>23</v>
      </c>
      <c r="M705" s="4">
        <v>3</v>
      </c>
      <c r="N705" s="16">
        <v>30</v>
      </c>
      <c r="O705" s="17">
        <f>M705*N705</f>
        <v>90</v>
      </c>
      <c r="P705" s="13">
        <f>$O705*$U$4</f>
        <v>1.3499999999999999</v>
      </c>
      <c r="Q705" s="13">
        <f>$O705*$U$5</f>
        <v>1.8</v>
      </c>
      <c r="R705" s="13" cm="1">
        <f t="array" ref="R705">_xlfn.IFS(B705=2023,O705*$U$4,B705=2024,O705*$U$5)</f>
        <v>1.3499999999999999</v>
      </c>
    </row>
    <row r="706" spans="1:18">
      <c r="A706" s="2">
        <v>705</v>
      </c>
      <c r="B706" s="4">
        <f t="shared" si="51"/>
        <v>2023</v>
      </c>
      <c r="C706" s="4">
        <f t="shared" si="52"/>
        <v>3</v>
      </c>
      <c r="D706" s="4">
        <f t="shared" si="53"/>
        <v>7</v>
      </c>
      <c r="E706" s="4" t="str">
        <f t="shared" si="54"/>
        <v>Tuesday</v>
      </c>
      <c r="F706" s="4" t="str">
        <f t="shared" si="55"/>
        <v>March</v>
      </c>
      <c r="G706" s="3">
        <v>44992</v>
      </c>
      <c r="H706" s="4" t="s">
        <v>737</v>
      </c>
      <c r="I706" s="4" t="s">
        <v>19</v>
      </c>
      <c r="J706" s="4" t="str" cm="1">
        <f t="array" ref="J706">_xlfn.IFS(K706&lt;30,"Young Adult",K706&lt;50,"Adult",K706&gt;=50,"Senior")</f>
        <v>Senior</v>
      </c>
      <c r="K706" s="4">
        <v>60</v>
      </c>
      <c r="L706" s="4" t="s">
        <v>26</v>
      </c>
      <c r="M706" s="4">
        <v>2</v>
      </c>
      <c r="N706" s="16">
        <v>25</v>
      </c>
      <c r="O706" s="17">
        <f>M706*N706</f>
        <v>50</v>
      </c>
      <c r="P706" s="13">
        <f>$O706*$U$4</f>
        <v>0.75</v>
      </c>
      <c r="Q706" s="13">
        <f>$O706*$U$5</f>
        <v>1</v>
      </c>
      <c r="R706" s="13" cm="1">
        <f t="array" ref="R706">_xlfn.IFS(B706=2023,O706*$U$4,B706=2024,O706*$U$5)</f>
        <v>0.75</v>
      </c>
    </row>
    <row r="707" spans="1:18">
      <c r="A707" s="2">
        <v>706</v>
      </c>
      <c r="B707" s="4">
        <f t="shared" ref="B707:B770" si="56">YEAR(G707)</f>
        <v>2023</v>
      </c>
      <c r="C707" s="4">
        <f t="shared" ref="C707:C770" si="57">MONTH(G707)</f>
        <v>11</v>
      </c>
      <c r="D707" s="4">
        <f t="shared" ref="D707:D770" si="58">DAY(G707)</f>
        <v>15</v>
      </c>
      <c r="E707" s="4" t="str">
        <f t="shared" ref="E707:E770" si="59">TEXT(G707,"dddd")</f>
        <v>Wednesday</v>
      </c>
      <c r="F707" s="4" t="str">
        <f t="shared" ref="F707:F770" si="60">TEXT(G707,"mmmm")</f>
        <v>November</v>
      </c>
      <c r="G707" s="3">
        <v>45245</v>
      </c>
      <c r="H707" s="4" t="s">
        <v>738</v>
      </c>
      <c r="I707" s="4" t="s">
        <v>19</v>
      </c>
      <c r="J707" s="4" t="str" cm="1">
        <f t="array" ref="J707">_xlfn.IFS(K707&lt;30,"Young Adult",K707&lt;50,"Adult",K707&gt;=50,"Senior")</f>
        <v>Senior</v>
      </c>
      <c r="K707" s="4">
        <v>51</v>
      </c>
      <c r="L707" s="4" t="s">
        <v>26</v>
      </c>
      <c r="M707" s="4">
        <v>4</v>
      </c>
      <c r="N707" s="16">
        <v>25</v>
      </c>
      <c r="O707" s="17">
        <f>M707*N707</f>
        <v>100</v>
      </c>
      <c r="P707" s="13">
        <f>$O707*$U$4</f>
        <v>1.5</v>
      </c>
      <c r="Q707" s="13">
        <f>$O707*$U$5</f>
        <v>2</v>
      </c>
      <c r="R707" s="13" cm="1">
        <f t="array" ref="R707">_xlfn.IFS(B707=2023,O707*$U$4,B707=2024,O707*$U$5)</f>
        <v>1.5</v>
      </c>
    </row>
    <row r="708" spans="1:18">
      <c r="A708" s="2">
        <v>707</v>
      </c>
      <c r="B708" s="4">
        <f t="shared" si="56"/>
        <v>2023</v>
      </c>
      <c r="C708" s="4">
        <f t="shared" si="57"/>
        <v>10</v>
      </c>
      <c r="D708" s="4">
        <f t="shared" si="58"/>
        <v>1</v>
      </c>
      <c r="E708" s="4" t="str">
        <f t="shared" si="59"/>
        <v>Sunday</v>
      </c>
      <c r="F708" s="4" t="str">
        <f t="shared" si="60"/>
        <v>October</v>
      </c>
      <c r="G708" s="3">
        <v>45200</v>
      </c>
      <c r="H708" s="4" t="s">
        <v>739</v>
      </c>
      <c r="I708" s="4" t="s">
        <v>22</v>
      </c>
      <c r="J708" s="4" t="str" cm="1">
        <f t="array" ref="J708">_xlfn.IFS(K708&lt;30,"Young Adult",K708&lt;50,"Adult",K708&gt;=50,"Senior")</f>
        <v>Young Adult</v>
      </c>
      <c r="K708" s="4">
        <v>26</v>
      </c>
      <c r="L708" s="4" t="s">
        <v>23</v>
      </c>
      <c r="M708" s="4">
        <v>1</v>
      </c>
      <c r="N708" s="16">
        <v>500</v>
      </c>
      <c r="O708" s="17">
        <f>M708*N708</f>
        <v>500</v>
      </c>
      <c r="P708" s="13">
        <f>$O708*$U$4</f>
        <v>7.5</v>
      </c>
      <c r="Q708" s="13">
        <f>$O708*$U$5</f>
        <v>10</v>
      </c>
      <c r="R708" s="13" cm="1">
        <f t="array" ref="R708">_xlfn.IFS(B708=2023,O708*$U$4,B708=2024,O708*$U$5)</f>
        <v>7.5</v>
      </c>
    </row>
    <row r="709" spans="1:18">
      <c r="A709" s="2">
        <v>708</v>
      </c>
      <c r="B709" s="4">
        <f t="shared" si="56"/>
        <v>2023</v>
      </c>
      <c r="C709" s="4">
        <f t="shared" si="57"/>
        <v>1</v>
      </c>
      <c r="D709" s="4">
        <f t="shared" si="58"/>
        <v>14</v>
      </c>
      <c r="E709" s="4" t="str">
        <f t="shared" si="59"/>
        <v>Saturday</v>
      </c>
      <c r="F709" s="4" t="str">
        <f t="shared" si="60"/>
        <v>January</v>
      </c>
      <c r="G709" s="3">
        <v>44940</v>
      </c>
      <c r="H709" s="4" t="s">
        <v>740</v>
      </c>
      <c r="I709" s="4" t="s">
        <v>22</v>
      </c>
      <c r="J709" s="4" t="str" cm="1">
        <f t="array" ref="J709">_xlfn.IFS(K709&lt;30,"Young Adult",K709&lt;50,"Adult",K709&gt;=50,"Senior")</f>
        <v>Adult</v>
      </c>
      <c r="K709" s="4">
        <v>43</v>
      </c>
      <c r="L709" s="4" t="s">
        <v>20</v>
      </c>
      <c r="M709" s="4">
        <v>3</v>
      </c>
      <c r="N709" s="16">
        <v>300</v>
      </c>
      <c r="O709" s="17">
        <f>M709*N709</f>
        <v>900</v>
      </c>
      <c r="P709" s="13">
        <f>$O709*$U$4</f>
        <v>13.5</v>
      </c>
      <c r="Q709" s="13">
        <f>$O709*$U$5</f>
        <v>18</v>
      </c>
      <c r="R709" s="13" cm="1">
        <f t="array" ref="R709">_xlfn.IFS(B709=2023,O709*$U$4,B709=2024,O709*$U$5)</f>
        <v>13.5</v>
      </c>
    </row>
    <row r="710" spans="1:18">
      <c r="A710" s="2">
        <v>709</v>
      </c>
      <c r="B710" s="4">
        <f t="shared" si="56"/>
        <v>2023</v>
      </c>
      <c r="C710" s="4">
        <f t="shared" si="57"/>
        <v>7</v>
      </c>
      <c r="D710" s="4">
        <f t="shared" si="58"/>
        <v>21</v>
      </c>
      <c r="E710" s="4" t="str">
        <f t="shared" si="59"/>
        <v>Friday</v>
      </c>
      <c r="F710" s="4" t="str">
        <f t="shared" si="60"/>
        <v>July</v>
      </c>
      <c r="G710" s="3">
        <v>45128</v>
      </c>
      <c r="H710" s="4" t="s">
        <v>741</v>
      </c>
      <c r="I710" s="4" t="s">
        <v>22</v>
      </c>
      <c r="J710" s="4" t="str" cm="1">
        <f t="array" ref="J710">_xlfn.IFS(K710&lt;30,"Young Adult",K710&lt;50,"Adult",K710&gt;=50,"Senior")</f>
        <v>Young Adult</v>
      </c>
      <c r="K710" s="4">
        <v>19</v>
      </c>
      <c r="L710" s="4" t="s">
        <v>26</v>
      </c>
      <c r="M710" s="4">
        <v>2</v>
      </c>
      <c r="N710" s="16">
        <v>500</v>
      </c>
      <c r="O710" s="17">
        <f>M710*N710</f>
        <v>1000</v>
      </c>
      <c r="P710" s="13">
        <f>$O710*$U$4</f>
        <v>15</v>
      </c>
      <c r="Q710" s="13">
        <f>$O710*$U$5</f>
        <v>20</v>
      </c>
      <c r="R710" s="13" cm="1">
        <f t="array" ref="R710">_xlfn.IFS(B710=2023,O710*$U$4,B710=2024,O710*$U$5)</f>
        <v>15</v>
      </c>
    </row>
    <row r="711" spans="1:18">
      <c r="A711" s="2">
        <v>710</v>
      </c>
      <c r="B711" s="4">
        <f t="shared" si="56"/>
        <v>2023</v>
      </c>
      <c r="C711" s="4">
        <f t="shared" si="57"/>
        <v>10</v>
      </c>
      <c r="D711" s="4">
        <f t="shared" si="58"/>
        <v>31</v>
      </c>
      <c r="E711" s="4" t="str">
        <f t="shared" si="59"/>
        <v>Tuesday</v>
      </c>
      <c r="F711" s="4" t="str">
        <f t="shared" si="60"/>
        <v>October</v>
      </c>
      <c r="G711" s="3">
        <v>45230</v>
      </c>
      <c r="H711" s="4" t="s">
        <v>742</v>
      </c>
      <c r="I711" s="4" t="s">
        <v>22</v>
      </c>
      <c r="J711" s="4" t="str" cm="1">
        <f t="array" ref="J711">_xlfn.IFS(K711&lt;30,"Young Adult",K711&lt;50,"Adult",K711&gt;=50,"Senior")</f>
        <v>Young Adult</v>
      </c>
      <c r="K711" s="4">
        <v>26</v>
      </c>
      <c r="L711" s="4" t="s">
        <v>26</v>
      </c>
      <c r="M711" s="4">
        <v>3</v>
      </c>
      <c r="N711" s="16">
        <v>500</v>
      </c>
      <c r="O711" s="17">
        <f>M711*N711</f>
        <v>1500</v>
      </c>
      <c r="P711" s="13">
        <f>$O711*$U$4</f>
        <v>22.5</v>
      </c>
      <c r="Q711" s="13">
        <f>$O711*$U$5</f>
        <v>30</v>
      </c>
      <c r="R711" s="13" cm="1">
        <f t="array" ref="R711">_xlfn.IFS(B711=2023,O711*$U$4,B711=2024,O711*$U$5)</f>
        <v>22.5</v>
      </c>
    </row>
    <row r="712" spans="1:18">
      <c r="A712" s="2">
        <v>711</v>
      </c>
      <c r="B712" s="4">
        <f t="shared" si="56"/>
        <v>2023</v>
      </c>
      <c r="C712" s="4">
        <f t="shared" si="57"/>
        <v>10</v>
      </c>
      <c r="D712" s="4">
        <f t="shared" si="58"/>
        <v>16</v>
      </c>
      <c r="E712" s="4" t="str">
        <f t="shared" si="59"/>
        <v>Monday</v>
      </c>
      <c r="F712" s="4" t="str">
        <f t="shared" si="60"/>
        <v>October</v>
      </c>
      <c r="G712" s="3">
        <v>45215</v>
      </c>
      <c r="H712" s="4" t="s">
        <v>743</v>
      </c>
      <c r="I712" s="4" t="s">
        <v>19</v>
      </c>
      <c r="J712" s="4" t="str" cm="1">
        <f t="array" ref="J712">_xlfn.IFS(K712&lt;30,"Young Adult",K712&lt;50,"Adult",K712&gt;=50,"Senior")</f>
        <v>Young Adult</v>
      </c>
      <c r="K712" s="4">
        <v>26</v>
      </c>
      <c r="L712" s="4" t="s">
        <v>26</v>
      </c>
      <c r="M712" s="4">
        <v>3</v>
      </c>
      <c r="N712" s="16">
        <v>500</v>
      </c>
      <c r="O712" s="17">
        <f>M712*N712</f>
        <v>1500</v>
      </c>
      <c r="P712" s="13">
        <f>$O712*$U$4</f>
        <v>22.5</v>
      </c>
      <c r="Q712" s="13">
        <f>$O712*$U$5</f>
        <v>30</v>
      </c>
      <c r="R712" s="13" cm="1">
        <f t="array" ref="R712">_xlfn.IFS(B712=2023,O712*$U$4,B712=2024,O712*$U$5)</f>
        <v>22.5</v>
      </c>
    </row>
    <row r="713" spans="1:18">
      <c r="A713" s="2">
        <v>712</v>
      </c>
      <c r="B713" s="4">
        <f t="shared" si="56"/>
        <v>2023</v>
      </c>
      <c r="C713" s="4">
        <f t="shared" si="57"/>
        <v>12</v>
      </c>
      <c r="D713" s="4">
        <f t="shared" si="58"/>
        <v>6</v>
      </c>
      <c r="E713" s="4" t="str">
        <f t="shared" si="59"/>
        <v>Wednesday</v>
      </c>
      <c r="F713" s="4" t="str">
        <f t="shared" si="60"/>
        <v>December</v>
      </c>
      <c r="G713" s="3">
        <v>45266</v>
      </c>
      <c r="H713" s="4" t="s">
        <v>744</v>
      </c>
      <c r="I713" s="4" t="s">
        <v>22</v>
      </c>
      <c r="J713" s="4" t="str" cm="1">
        <f t="array" ref="J713">_xlfn.IFS(K713&lt;30,"Young Adult",K713&lt;50,"Adult",K713&gt;=50,"Senior")</f>
        <v>Senior</v>
      </c>
      <c r="K713" s="4">
        <v>57</v>
      </c>
      <c r="L713" s="4" t="s">
        <v>20</v>
      </c>
      <c r="M713" s="4">
        <v>2</v>
      </c>
      <c r="N713" s="16">
        <v>25</v>
      </c>
      <c r="O713" s="17">
        <f>M713*N713</f>
        <v>50</v>
      </c>
      <c r="P713" s="13">
        <f>$O713*$U$4</f>
        <v>0.75</v>
      </c>
      <c r="Q713" s="13">
        <f>$O713*$U$5</f>
        <v>1</v>
      </c>
      <c r="R713" s="13" cm="1">
        <f t="array" ref="R713">_xlfn.IFS(B713=2023,O713*$U$4,B713=2024,O713*$U$5)</f>
        <v>0.75</v>
      </c>
    </row>
    <row r="714" spans="1:18">
      <c r="A714" s="2">
        <v>713</v>
      </c>
      <c r="B714" s="4">
        <f t="shared" si="56"/>
        <v>2023</v>
      </c>
      <c r="C714" s="4">
        <f t="shared" si="57"/>
        <v>1</v>
      </c>
      <c r="D714" s="4">
        <f t="shared" si="58"/>
        <v>14</v>
      </c>
      <c r="E714" s="4" t="str">
        <f t="shared" si="59"/>
        <v>Saturday</v>
      </c>
      <c r="F714" s="4" t="str">
        <f t="shared" si="60"/>
        <v>January</v>
      </c>
      <c r="G714" s="3">
        <v>44940</v>
      </c>
      <c r="H714" s="4" t="s">
        <v>745</v>
      </c>
      <c r="I714" s="4" t="s">
        <v>19</v>
      </c>
      <c r="J714" s="4" t="str" cm="1">
        <f t="array" ref="J714">_xlfn.IFS(K714&lt;30,"Young Adult",K714&lt;50,"Adult",K714&gt;=50,"Senior")</f>
        <v>Adult</v>
      </c>
      <c r="K714" s="4">
        <v>34</v>
      </c>
      <c r="L714" s="4" t="s">
        <v>20</v>
      </c>
      <c r="M714" s="4">
        <v>3</v>
      </c>
      <c r="N714" s="16">
        <v>25</v>
      </c>
      <c r="O714" s="17">
        <f>M714*N714</f>
        <v>75</v>
      </c>
      <c r="P714" s="13">
        <f>$O714*$U$4</f>
        <v>1.125</v>
      </c>
      <c r="Q714" s="13">
        <f>$O714*$U$5</f>
        <v>1.5</v>
      </c>
      <c r="R714" s="13" cm="1">
        <f t="array" ref="R714">_xlfn.IFS(B714=2023,O714*$U$4,B714=2024,O714*$U$5)</f>
        <v>1.125</v>
      </c>
    </row>
    <row r="715" spans="1:18">
      <c r="A715" s="2">
        <v>714</v>
      </c>
      <c r="B715" s="4">
        <f t="shared" si="56"/>
        <v>2023</v>
      </c>
      <c r="C715" s="4">
        <f t="shared" si="57"/>
        <v>2</v>
      </c>
      <c r="D715" s="4">
        <f t="shared" si="58"/>
        <v>12</v>
      </c>
      <c r="E715" s="4" t="str">
        <f t="shared" si="59"/>
        <v>Sunday</v>
      </c>
      <c r="F715" s="4" t="str">
        <f t="shared" si="60"/>
        <v>February</v>
      </c>
      <c r="G715" s="3">
        <v>44969</v>
      </c>
      <c r="H715" s="4" t="s">
        <v>746</v>
      </c>
      <c r="I715" s="4" t="s">
        <v>22</v>
      </c>
      <c r="J715" s="4" t="str" cm="1">
        <f t="array" ref="J715">_xlfn.IFS(K715&lt;30,"Young Adult",K715&lt;50,"Adult",K715&gt;=50,"Senior")</f>
        <v>Young Adult</v>
      </c>
      <c r="K715" s="4">
        <v>18</v>
      </c>
      <c r="L715" s="4" t="s">
        <v>23</v>
      </c>
      <c r="M715" s="4">
        <v>1</v>
      </c>
      <c r="N715" s="16">
        <v>500</v>
      </c>
      <c r="O715" s="17">
        <f>M715*N715</f>
        <v>500</v>
      </c>
      <c r="P715" s="13">
        <f>$O715*$U$4</f>
        <v>7.5</v>
      </c>
      <c r="Q715" s="13">
        <f>$O715*$U$5</f>
        <v>10</v>
      </c>
      <c r="R715" s="13" cm="1">
        <f t="array" ref="R715">_xlfn.IFS(B715=2023,O715*$U$4,B715=2024,O715*$U$5)</f>
        <v>7.5</v>
      </c>
    </row>
    <row r="716" spans="1:18">
      <c r="A716" s="2">
        <v>715</v>
      </c>
      <c r="B716" s="4">
        <f t="shared" si="56"/>
        <v>2023</v>
      </c>
      <c r="C716" s="4">
        <f t="shared" si="57"/>
        <v>11</v>
      </c>
      <c r="D716" s="4">
        <f t="shared" si="58"/>
        <v>26</v>
      </c>
      <c r="E716" s="4" t="str">
        <f t="shared" si="59"/>
        <v>Sunday</v>
      </c>
      <c r="F716" s="4" t="str">
        <f t="shared" si="60"/>
        <v>November</v>
      </c>
      <c r="G716" s="3">
        <v>45256</v>
      </c>
      <c r="H716" s="4" t="s">
        <v>747</v>
      </c>
      <c r="I716" s="4" t="s">
        <v>22</v>
      </c>
      <c r="J716" s="4" t="str" cm="1">
        <f t="array" ref="J716">_xlfn.IFS(K716&lt;30,"Young Adult",K716&lt;50,"Adult",K716&gt;=50,"Senior")</f>
        <v>Adult</v>
      </c>
      <c r="K716" s="4">
        <v>42</v>
      </c>
      <c r="L716" s="4" t="s">
        <v>20</v>
      </c>
      <c r="M716" s="4">
        <v>4</v>
      </c>
      <c r="N716" s="16">
        <v>25</v>
      </c>
      <c r="O716" s="17">
        <f>M716*N716</f>
        <v>100</v>
      </c>
      <c r="P716" s="13">
        <f>$O716*$U$4</f>
        <v>1.5</v>
      </c>
      <c r="Q716" s="13">
        <f>$O716*$U$5</f>
        <v>2</v>
      </c>
      <c r="R716" s="13" cm="1">
        <f t="array" ref="R716">_xlfn.IFS(B716=2023,O716*$U$4,B716=2024,O716*$U$5)</f>
        <v>1.5</v>
      </c>
    </row>
    <row r="717" spans="1:18">
      <c r="A717" s="2">
        <v>716</v>
      </c>
      <c r="B717" s="4">
        <f t="shared" si="56"/>
        <v>2023</v>
      </c>
      <c r="C717" s="4">
        <f t="shared" si="57"/>
        <v>8</v>
      </c>
      <c r="D717" s="4">
        <f t="shared" si="58"/>
        <v>8</v>
      </c>
      <c r="E717" s="4" t="str">
        <f t="shared" si="59"/>
        <v>Tuesday</v>
      </c>
      <c r="F717" s="4" t="str">
        <f t="shared" si="60"/>
        <v>August</v>
      </c>
      <c r="G717" s="3">
        <v>45146</v>
      </c>
      <c r="H717" s="4" t="s">
        <v>748</v>
      </c>
      <c r="I717" s="4" t="s">
        <v>22</v>
      </c>
      <c r="J717" s="4" t="str" cm="1">
        <f t="array" ref="J717">_xlfn.IFS(K717&lt;30,"Young Adult",K717&lt;50,"Adult",K717&gt;=50,"Senior")</f>
        <v>Senior</v>
      </c>
      <c r="K717" s="4">
        <v>60</v>
      </c>
      <c r="L717" s="4" t="s">
        <v>23</v>
      </c>
      <c r="M717" s="4">
        <v>4</v>
      </c>
      <c r="N717" s="16">
        <v>300</v>
      </c>
      <c r="O717" s="17">
        <f>M717*N717</f>
        <v>1200</v>
      </c>
      <c r="P717" s="13">
        <f>$O717*$U$4</f>
        <v>18</v>
      </c>
      <c r="Q717" s="13">
        <f>$O717*$U$5</f>
        <v>24</v>
      </c>
      <c r="R717" s="13" cm="1">
        <f t="array" ref="R717">_xlfn.IFS(B717=2023,O717*$U$4,B717=2024,O717*$U$5)</f>
        <v>18</v>
      </c>
    </row>
    <row r="718" spans="1:18">
      <c r="A718" s="2">
        <v>717</v>
      </c>
      <c r="B718" s="4">
        <f t="shared" si="56"/>
        <v>2023</v>
      </c>
      <c r="C718" s="4">
        <f t="shared" si="57"/>
        <v>3</v>
      </c>
      <c r="D718" s="4">
        <f t="shared" si="58"/>
        <v>11</v>
      </c>
      <c r="E718" s="4" t="str">
        <f t="shared" si="59"/>
        <v>Saturday</v>
      </c>
      <c r="F718" s="4" t="str">
        <f t="shared" si="60"/>
        <v>March</v>
      </c>
      <c r="G718" s="3">
        <v>44996</v>
      </c>
      <c r="H718" s="4" t="s">
        <v>749</v>
      </c>
      <c r="I718" s="4" t="s">
        <v>19</v>
      </c>
      <c r="J718" s="4" t="str" cm="1">
        <f t="array" ref="J718">_xlfn.IFS(K718&lt;30,"Young Adult",K718&lt;50,"Adult",K718&gt;=50,"Senior")</f>
        <v>Senior</v>
      </c>
      <c r="K718" s="4">
        <v>57</v>
      </c>
      <c r="L718" s="4" t="s">
        <v>23</v>
      </c>
      <c r="M718" s="4">
        <v>1</v>
      </c>
      <c r="N718" s="16">
        <v>500</v>
      </c>
      <c r="O718" s="17">
        <f>M718*N718</f>
        <v>500</v>
      </c>
      <c r="P718" s="13">
        <f>$O718*$U$4</f>
        <v>7.5</v>
      </c>
      <c r="Q718" s="13">
        <f>$O718*$U$5</f>
        <v>10</v>
      </c>
      <c r="R718" s="13" cm="1">
        <f t="array" ref="R718">_xlfn.IFS(B718=2023,O718*$U$4,B718=2024,O718*$U$5)</f>
        <v>7.5</v>
      </c>
    </row>
    <row r="719" spans="1:18">
      <c r="A719" s="2">
        <v>718</v>
      </c>
      <c r="B719" s="4">
        <f t="shared" si="56"/>
        <v>2023</v>
      </c>
      <c r="C719" s="4">
        <f t="shared" si="57"/>
        <v>8</v>
      </c>
      <c r="D719" s="4">
        <f t="shared" si="58"/>
        <v>25</v>
      </c>
      <c r="E719" s="4" t="str">
        <f t="shared" si="59"/>
        <v>Friday</v>
      </c>
      <c r="F719" s="4" t="str">
        <f t="shared" si="60"/>
        <v>August</v>
      </c>
      <c r="G719" s="3">
        <v>45163</v>
      </c>
      <c r="H719" s="4" t="s">
        <v>750</v>
      </c>
      <c r="I719" s="4" t="s">
        <v>22</v>
      </c>
      <c r="J719" s="4" t="str" cm="1">
        <f t="array" ref="J719">_xlfn.IFS(K719&lt;30,"Young Adult",K719&lt;50,"Adult",K719&gt;=50,"Senior")</f>
        <v>Senior</v>
      </c>
      <c r="K719" s="4">
        <v>59</v>
      </c>
      <c r="L719" s="4" t="s">
        <v>20</v>
      </c>
      <c r="M719" s="4">
        <v>3</v>
      </c>
      <c r="N719" s="16">
        <v>25</v>
      </c>
      <c r="O719" s="17">
        <f>M719*N719</f>
        <v>75</v>
      </c>
      <c r="P719" s="13">
        <f>$O719*$U$4</f>
        <v>1.125</v>
      </c>
      <c r="Q719" s="13">
        <f>$O719*$U$5</f>
        <v>1.5</v>
      </c>
      <c r="R719" s="13" cm="1">
        <f t="array" ref="R719">_xlfn.IFS(B719=2023,O719*$U$4,B719=2024,O719*$U$5)</f>
        <v>1.125</v>
      </c>
    </row>
    <row r="720" spans="1:18">
      <c r="A720" s="2">
        <v>719</v>
      </c>
      <c r="B720" s="4">
        <f t="shared" si="56"/>
        <v>2023</v>
      </c>
      <c r="C720" s="4">
        <f t="shared" si="57"/>
        <v>4</v>
      </c>
      <c r="D720" s="4">
        <f t="shared" si="58"/>
        <v>4</v>
      </c>
      <c r="E720" s="4" t="str">
        <f t="shared" si="59"/>
        <v>Tuesday</v>
      </c>
      <c r="F720" s="4" t="str">
        <f t="shared" si="60"/>
        <v>April</v>
      </c>
      <c r="G720" s="3">
        <v>45020</v>
      </c>
      <c r="H720" s="4" t="s">
        <v>751</v>
      </c>
      <c r="I720" s="4" t="s">
        <v>22</v>
      </c>
      <c r="J720" s="4" t="str" cm="1">
        <f t="array" ref="J720">_xlfn.IFS(K720&lt;30,"Young Adult",K720&lt;50,"Adult",K720&gt;=50,"Senior")</f>
        <v>Adult</v>
      </c>
      <c r="K720" s="4">
        <v>42</v>
      </c>
      <c r="L720" s="4" t="s">
        <v>23</v>
      </c>
      <c r="M720" s="4">
        <v>2</v>
      </c>
      <c r="N720" s="16">
        <v>30</v>
      </c>
      <c r="O720" s="17">
        <f>M720*N720</f>
        <v>60</v>
      </c>
      <c r="P720" s="13">
        <f>$O720*$U$4</f>
        <v>0.89999999999999991</v>
      </c>
      <c r="Q720" s="13">
        <f>$O720*$U$5</f>
        <v>1.2</v>
      </c>
      <c r="R720" s="13" cm="1">
        <f t="array" ref="R720">_xlfn.IFS(B720=2023,O720*$U$4,B720=2024,O720*$U$5)</f>
        <v>0.89999999999999991</v>
      </c>
    </row>
    <row r="721" spans="1:18">
      <c r="A721" s="2">
        <v>720</v>
      </c>
      <c r="B721" s="4">
        <f t="shared" si="56"/>
        <v>2023</v>
      </c>
      <c r="C721" s="4">
        <f t="shared" si="57"/>
        <v>1</v>
      </c>
      <c r="D721" s="4">
        <f t="shared" si="58"/>
        <v>26</v>
      </c>
      <c r="E721" s="4" t="str">
        <f t="shared" si="59"/>
        <v>Thursday</v>
      </c>
      <c r="F721" s="4" t="str">
        <f t="shared" si="60"/>
        <v>January</v>
      </c>
      <c r="G721" s="3">
        <v>44952</v>
      </c>
      <c r="H721" s="4" t="s">
        <v>752</v>
      </c>
      <c r="I721" s="4" t="s">
        <v>22</v>
      </c>
      <c r="J721" s="4" t="str" cm="1">
        <f t="array" ref="J721">_xlfn.IFS(K721&lt;30,"Young Adult",K721&lt;50,"Adult",K721&gt;=50,"Senior")</f>
        <v>Senior</v>
      </c>
      <c r="K721" s="4">
        <v>56</v>
      </c>
      <c r="L721" s="4" t="s">
        <v>20</v>
      </c>
      <c r="M721" s="4">
        <v>3</v>
      </c>
      <c r="N721" s="16">
        <v>500</v>
      </c>
      <c r="O721" s="17">
        <f>M721*N721</f>
        <v>1500</v>
      </c>
      <c r="P721" s="13">
        <f>$O721*$U$4</f>
        <v>22.5</v>
      </c>
      <c r="Q721" s="13">
        <f>$O721*$U$5</f>
        <v>30</v>
      </c>
      <c r="R721" s="13" cm="1">
        <f t="array" ref="R721">_xlfn.IFS(B721=2023,O721*$U$4,B721=2024,O721*$U$5)</f>
        <v>22.5</v>
      </c>
    </row>
    <row r="722" spans="1:18">
      <c r="A722" s="2">
        <v>721</v>
      </c>
      <c r="B722" s="4">
        <f t="shared" si="56"/>
        <v>2023</v>
      </c>
      <c r="C722" s="4">
        <f t="shared" si="57"/>
        <v>5</v>
      </c>
      <c r="D722" s="4">
        <f t="shared" si="58"/>
        <v>14</v>
      </c>
      <c r="E722" s="4" t="str">
        <f t="shared" si="59"/>
        <v>Sunday</v>
      </c>
      <c r="F722" s="4" t="str">
        <f t="shared" si="60"/>
        <v>May</v>
      </c>
      <c r="G722" s="3">
        <v>45060</v>
      </c>
      <c r="H722" s="4" t="s">
        <v>753</v>
      </c>
      <c r="I722" s="4" t="s">
        <v>22</v>
      </c>
      <c r="J722" s="4" t="str" cm="1">
        <f t="array" ref="J722">_xlfn.IFS(K722&lt;30,"Young Adult",K722&lt;50,"Adult",K722&gt;=50,"Senior")</f>
        <v>Senior</v>
      </c>
      <c r="K722" s="4">
        <v>52</v>
      </c>
      <c r="L722" s="4" t="s">
        <v>23</v>
      </c>
      <c r="M722" s="4">
        <v>1</v>
      </c>
      <c r="N722" s="16">
        <v>500</v>
      </c>
      <c r="O722" s="17">
        <f>M722*N722</f>
        <v>500</v>
      </c>
      <c r="P722" s="13">
        <f>$O722*$U$4</f>
        <v>7.5</v>
      </c>
      <c r="Q722" s="13">
        <f>$O722*$U$5</f>
        <v>10</v>
      </c>
      <c r="R722" s="13" cm="1">
        <f t="array" ref="R722">_xlfn.IFS(B722=2023,O722*$U$4,B722=2024,O722*$U$5)</f>
        <v>7.5</v>
      </c>
    </row>
    <row r="723" spans="1:18">
      <c r="A723" s="2">
        <v>722</v>
      </c>
      <c r="B723" s="4">
        <f t="shared" si="56"/>
        <v>2023</v>
      </c>
      <c r="C723" s="4">
        <f t="shared" si="57"/>
        <v>7</v>
      </c>
      <c r="D723" s="4">
        <f t="shared" si="58"/>
        <v>14</v>
      </c>
      <c r="E723" s="4" t="str">
        <f t="shared" si="59"/>
        <v>Friday</v>
      </c>
      <c r="F723" s="4" t="str">
        <f t="shared" si="60"/>
        <v>July</v>
      </c>
      <c r="G723" s="3">
        <v>45121</v>
      </c>
      <c r="H723" s="4" t="s">
        <v>754</v>
      </c>
      <c r="I723" s="4" t="s">
        <v>19</v>
      </c>
      <c r="J723" s="4" t="str" cm="1">
        <f t="array" ref="J723">_xlfn.IFS(K723&lt;30,"Young Adult",K723&lt;50,"Adult",K723&gt;=50,"Senior")</f>
        <v>Young Adult</v>
      </c>
      <c r="K723" s="4">
        <v>20</v>
      </c>
      <c r="L723" s="4" t="s">
        <v>20</v>
      </c>
      <c r="M723" s="4">
        <v>3</v>
      </c>
      <c r="N723" s="16">
        <v>300</v>
      </c>
      <c r="O723" s="17">
        <f>M723*N723</f>
        <v>900</v>
      </c>
      <c r="P723" s="13">
        <f>$O723*$U$4</f>
        <v>13.5</v>
      </c>
      <c r="Q723" s="13">
        <f>$O723*$U$5</f>
        <v>18</v>
      </c>
      <c r="R723" s="13" cm="1">
        <f t="array" ref="R723">_xlfn.IFS(B723=2023,O723*$U$4,B723=2024,O723*$U$5)</f>
        <v>13.5</v>
      </c>
    </row>
    <row r="724" spans="1:18">
      <c r="A724" s="2">
        <v>723</v>
      </c>
      <c r="B724" s="4">
        <f t="shared" si="56"/>
        <v>2023</v>
      </c>
      <c r="C724" s="4">
        <f t="shared" si="57"/>
        <v>6</v>
      </c>
      <c r="D724" s="4">
        <f t="shared" si="58"/>
        <v>17</v>
      </c>
      <c r="E724" s="4" t="str">
        <f t="shared" si="59"/>
        <v>Saturday</v>
      </c>
      <c r="F724" s="4" t="str">
        <f t="shared" si="60"/>
        <v>June</v>
      </c>
      <c r="G724" s="3">
        <v>45094</v>
      </c>
      <c r="H724" s="4" t="s">
        <v>755</v>
      </c>
      <c r="I724" s="4" t="s">
        <v>22</v>
      </c>
      <c r="J724" s="4" t="str" cm="1">
        <f t="array" ref="J724">_xlfn.IFS(K724&lt;30,"Young Adult",K724&lt;50,"Adult",K724&gt;=50,"Senior")</f>
        <v>Senior</v>
      </c>
      <c r="K724" s="4">
        <v>54</v>
      </c>
      <c r="L724" s="4" t="s">
        <v>20</v>
      </c>
      <c r="M724" s="4">
        <v>4</v>
      </c>
      <c r="N724" s="16">
        <v>50</v>
      </c>
      <c r="O724" s="17">
        <f>M724*N724</f>
        <v>200</v>
      </c>
      <c r="P724" s="13">
        <f>$O724*$U$4</f>
        <v>3</v>
      </c>
      <c r="Q724" s="13">
        <f>$O724*$U$5</f>
        <v>4</v>
      </c>
      <c r="R724" s="13" cm="1">
        <f t="array" ref="R724">_xlfn.IFS(B724=2023,O724*$U$4,B724=2024,O724*$U$5)</f>
        <v>3</v>
      </c>
    </row>
    <row r="725" spans="1:18">
      <c r="A725" s="2">
        <v>724</v>
      </c>
      <c r="B725" s="4">
        <f t="shared" si="56"/>
        <v>2023</v>
      </c>
      <c r="C725" s="4">
        <f t="shared" si="57"/>
        <v>4</v>
      </c>
      <c r="D725" s="4">
        <f t="shared" si="58"/>
        <v>19</v>
      </c>
      <c r="E725" s="4" t="str">
        <f t="shared" si="59"/>
        <v>Wednesday</v>
      </c>
      <c r="F725" s="4" t="str">
        <f t="shared" si="60"/>
        <v>April</v>
      </c>
      <c r="G725" s="3">
        <v>45035</v>
      </c>
      <c r="H725" s="4" t="s">
        <v>756</v>
      </c>
      <c r="I725" s="4" t="s">
        <v>19</v>
      </c>
      <c r="J725" s="4" t="str" cm="1">
        <f t="array" ref="J725">_xlfn.IFS(K725&lt;30,"Young Adult",K725&lt;50,"Adult",K725&gt;=50,"Senior")</f>
        <v>Senior</v>
      </c>
      <c r="K725" s="4">
        <v>61</v>
      </c>
      <c r="L725" s="4" t="s">
        <v>23</v>
      </c>
      <c r="M725" s="4">
        <v>3</v>
      </c>
      <c r="N725" s="16">
        <v>50</v>
      </c>
      <c r="O725" s="17">
        <f>M725*N725</f>
        <v>150</v>
      </c>
      <c r="P725" s="13">
        <f>$O725*$U$4</f>
        <v>2.25</v>
      </c>
      <c r="Q725" s="13">
        <f>$O725*$U$5</f>
        <v>3</v>
      </c>
      <c r="R725" s="13" cm="1">
        <f t="array" ref="R725">_xlfn.IFS(B725=2023,O725*$U$4,B725=2024,O725*$U$5)</f>
        <v>2.25</v>
      </c>
    </row>
    <row r="726" spans="1:18">
      <c r="A726" s="2">
        <v>725</v>
      </c>
      <c r="B726" s="4">
        <f t="shared" si="56"/>
        <v>2023</v>
      </c>
      <c r="C726" s="4">
        <f t="shared" si="57"/>
        <v>8</v>
      </c>
      <c r="D726" s="4">
        <f t="shared" si="58"/>
        <v>21</v>
      </c>
      <c r="E726" s="4" t="str">
        <f t="shared" si="59"/>
        <v>Monday</v>
      </c>
      <c r="F726" s="4" t="str">
        <f t="shared" si="60"/>
        <v>August</v>
      </c>
      <c r="G726" s="3">
        <v>45159</v>
      </c>
      <c r="H726" s="4" t="s">
        <v>757</v>
      </c>
      <c r="I726" s="4" t="s">
        <v>19</v>
      </c>
      <c r="J726" s="4" t="str" cm="1">
        <f t="array" ref="J726">_xlfn.IFS(K726&lt;30,"Young Adult",K726&lt;50,"Adult",K726&gt;=50,"Senior")</f>
        <v>Senior</v>
      </c>
      <c r="K726" s="4">
        <v>61</v>
      </c>
      <c r="L726" s="4" t="s">
        <v>26</v>
      </c>
      <c r="M726" s="4">
        <v>1</v>
      </c>
      <c r="N726" s="16">
        <v>300</v>
      </c>
      <c r="O726" s="17">
        <f>M726*N726</f>
        <v>300</v>
      </c>
      <c r="P726" s="13">
        <f>$O726*$U$4</f>
        <v>4.5</v>
      </c>
      <c r="Q726" s="13">
        <f>$O726*$U$5</f>
        <v>6</v>
      </c>
      <c r="R726" s="13" cm="1">
        <f t="array" ref="R726">_xlfn.IFS(B726=2023,O726*$U$4,B726=2024,O726*$U$5)</f>
        <v>4.5</v>
      </c>
    </row>
    <row r="727" spans="1:18">
      <c r="A727" s="2">
        <v>726</v>
      </c>
      <c r="B727" s="4">
        <f t="shared" si="56"/>
        <v>2023</v>
      </c>
      <c r="C727" s="4">
        <f t="shared" si="57"/>
        <v>6</v>
      </c>
      <c r="D727" s="4">
        <f t="shared" si="58"/>
        <v>17</v>
      </c>
      <c r="E727" s="4" t="str">
        <f t="shared" si="59"/>
        <v>Saturday</v>
      </c>
      <c r="F727" s="4" t="str">
        <f t="shared" si="60"/>
        <v>June</v>
      </c>
      <c r="G727" s="3">
        <v>45094</v>
      </c>
      <c r="H727" s="4" t="s">
        <v>758</v>
      </c>
      <c r="I727" s="4" t="s">
        <v>19</v>
      </c>
      <c r="J727" s="4" t="str" cm="1">
        <f t="array" ref="J727">_xlfn.IFS(K727&lt;30,"Young Adult",K727&lt;50,"Adult",K727&gt;=50,"Senior")</f>
        <v>Adult</v>
      </c>
      <c r="K727" s="4">
        <v>47</v>
      </c>
      <c r="L727" s="4" t="s">
        <v>23</v>
      </c>
      <c r="M727" s="4">
        <v>4</v>
      </c>
      <c r="N727" s="16">
        <v>300</v>
      </c>
      <c r="O727" s="17">
        <f>M727*N727</f>
        <v>1200</v>
      </c>
      <c r="P727" s="13">
        <f>$O727*$U$4</f>
        <v>18</v>
      </c>
      <c r="Q727" s="13">
        <f>$O727*$U$5</f>
        <v>24</v>
      </c>
      <c r="R727" s="13" cm="1">
        <f t="array" ref="R727">_xlfn.IFS(B727=2023,O727*$U$4,B727=2024,O727*$U$5)</f>
        <v>18</v>
      </c>
    </row>
    <row r="728" spans="1:18">
      <c r="A728" s="2">
        <v>727</v>
      </c>
      <c r="B728" s="4">
        <f t="shared" si="56"/>
        <v>2023</v>
      </c>
      <c r="C728" s="4">
        <f t="shared" si="57"/>
        <v>6</v>
      </c>
      <c r="D728" s="4">
        <f t="shared" si="58"/>
        <v>22</v>
      </c>
      <c r="E728" s="4" t="str">
        <f t="shared" si="59"/>
        <v>Thursday</v>
      </c>
      <c r="F728" s="4" t="str">
        <f t="shared" si="60"/>
        <v>June</v>
      </c>
      <c r="G728" s="3">
        <v>45099</v>
      </c>
      <c r="H728" s="4" t="s">
        <v>759</v>
      </c>
      <c r="I728" s="4" t="s">
        <v>19</v>
      </c>
      <c r="J728" s="4" t="str" cm="1">
        <f t="array" ref="J728">_xlfn.IFS(K728&lt;30,"Young Adult",K728&lt;50,"Adult",K728&gt;=50,"Senior")</f>
        <v>Senior</v>
      </c>
      <c r="K728" s="4">
        <v>55</v>
      </c>
      <c r="L728" s="4" t="s">
        <v>20</v>
      </c>
      <c r="M728" s="4">
        <v>3</v>
      </c>
      <c r="N728" s="16">
        <v>300</v>
      </c>
      <c r="O728" s="17">
        <f>M728*N728</f>
        <v>900</v>
      </c>
      <c r="P728" s="13">
        <f>$O728*$U$4</f>
        <v>13.5</v>
      </c>
      <c r="Q728" s="13">
        <f>$O728*$U$5</f>
        <v>18</v>
      </c>
      <c r="R728" s="13" cm="1">
        <f t="array" ref="R728">_xlfn.IFS(B728=2023,O728*$U$4,B728=2024,O728*$U$5)</f>
        <v>13.5</v>
      </c>
    </row>
    <row r="729" spans="1:18">
      <c r="A729" s="2">
        <v>728</v>
      </c>
      <c r="B729" s="4">
        <f t="shared" si="56"/>
        <v>2023</v>
      </c>
      <c r="C729" s="4">
        <f t="shared" si="57"/>
        <v>7</v>
      </c>
      <c r="D729" s="4">
        <f t="shared" si="58"/>
        <v>14</v>
      </c>
      <c r="E729" s="4" t="str">
        <f t="shared" si="59"/>
        <v>Friday</v>
      </c>
      <c r="F729" s="4" t="str">
        <f t="shared" si="60"/>
        <v>July</v>
      </c>
      <c r="G729" s="3">
        <v>45121</v>
      </c>
      <c r="H729" s="4" t="s">
        <v>760</v>
      </c>
      <c r="I729" s="4" t="s">
        <v>19</v>
      </c>
      <c r="J729" s="4" t="str" cm="1">
        <f t="array" ref="J729">_xlfn.IFS(K729&lt;30,"Young Adult",K729&lt;50,"Adult",K729&gt;=50,"Senior")</f>
        <v>Senior</v>
      </c>
      <c r="K729" s="4">
        <v>51</v>
      </c>
      <c r="L729" s="4" t="s">
        <v>26</v>
      </c>
      <c r="M729" s="4">
        <v>3</v>
      </c>
      <c r="N729" s="16">
        <v>50</v>
      </c>
      <c r="O729" s="17">
        <f>M729*N729</f>
        <v>150</v>
      </c>
      <c r="P729" s="13">
        <f>$O729*$U$4</f>
        <v>2.25</v>
      </c>
      <c r="Q729" s="13">
        <f>$O729*$U$5</f>
        <v>3</v>
      </c>
      <c r="R729" s="13" cm="1">
        <f t="array" ref="R729">_xlfn.IFS(B729=2023,O729*$U$4,B729=2024,O729*$U$5)</f>
        <v>2.25</v>
      </c>
    </row>
    <row r="730" spans="1:18">
      <c r="A730" s="2">
        <v>729</v>
      </c>
      <c r="B730" s="4">
        <f t="shared" si="56"/>
        <v>2023</v>
      </c>
      <c r="C730" s="4">
        <f t="shared" si="57"/>
        <v>5</v>
      </c>
      <c r="D730" s="4">
        <f t="shared" si="58"/>
        <v>23</v>
      </c>
      <c r="E730" s="4" t="str">
        <f t="shared" si="59"/>
        <v>Tuesday</v>
      </c>
      <c r="F730" s="4" t="str">
        <f t="shared" si="60"/>
        <v>May</v>
      </c>
      <c r="G730" s="3">
        <v>45069</v>
      </c>
      <c r="H730" s="4" t="s">
        <v>761</v>
      </c>
      <c r="I730" s="4" t="s">
        <v>19</v>
      </c>
      <c r="J730" s="4" t="str" cm="1">
        <f t="array" ref="J730">_xlfn.IFS(K730&lt;30,"Young Adult",K730&lt;50,"Adult",K730&gt;=50,"Senior")</f>
        <v>Young Adult</v>
      </c>
      <c r="K730" s="4">
        <v>29</v>
      </c>
      <c r="L730" s="4" t="s">
        <v>23</v>
      </c>
      <c r="M730" s="4">
        <v>4</v>
      </c>
      <c r="N730" s="16">
        <v>300</v>
      </c>
      <c r="O730" s="17">
        <f>M730*N730</f>
        <v>1200</v>
      </c>
      <c r="P730" s="13">
        <f>$O730*$U$4</f>
        <v>18</v>
      </c>
      <c r="Q730" s="13">
        <f>$O730*$U$5</f>
        <v>24</v>
      </c>
      <c r="R730" s="13" cm="1">
        <f t="array" ref="R730">_xlfn.IFS(B730=2023,O730*$U$4,B730=2024,O730*$U$5)</f>
        <v>18</v>
      </c>
    </row>
    <row r="731" spans="1:18">
      <c r="A731" s="2">
        <v>730</v>
      </c>
      <c r="B731" s="4">
        <f t="shared" si="56"/>
        <v>2023</v>
      </c>
      <c r="C731" s="4">
        <f t="shared" si="57"/>
        <v>8</v>
      </c>
      <c r="D731" s="4">
        <f t="shared" si="58"/>
        <v>4</v>
      </c>
      <c r="E731" s="4" t="str">
        <f t="shared" si="59"/>
        <v>Friday</v>
      </c>
      <c r="F731" s="4" t="str">
        <f t="shared" si="60"/>
        <v>August</v>
      </c>
      <c r="G731" s="3">
        <v>45142</v>
      </c>
      <c r="H731" s="4" t="s">
        <v>762</v>
      </c>
      <c r="I731" s="4" t="s">
        <v>22</v>
      </c>
      <c r="J731" s="4" t="str" cm="1">
        <f t="array" ref="J731">_xlfn.IFS(K731&lt;30,"Young Adult",K731&lt;50,"Adult",K731&gt;=50,"Senior")</f>
        <v>Adult</v>
      </c>
      <c r="K731" s="4">
        <v>36</v>
      </c>
      <c r="L731" s="4" t="s">
        <v>23</v>
      </c>
      <c r="M731" s="4">
        <v>2</v>
      </c>
      <c r="N731" s="16">
        <v>25</v>
      </c>
      <c r="O731" s="17">
        <f>M731*N731</f>
        <v>50</v>
      </c>
      <c r="P731" s="13">
        <f>$O731*$U$4</f>
        <v>0.75</v>
      </c>
      <c r="Q731" s="13">
        <f>$O731*$U$5</f>
        <v>1</v>
      </c>
      <c r="R731" s="13" cm="1">
        <f t="array" ref="R731">_xlfn.IFS(B731=2023,O731*$U$4,B731=2024,O731*$U$5)</f>
        <v>0.75</v>
      </c>
    </row>
    <row r="732" spans="1:18">
      <c r="A732" s="2">
        <v>731</v>
      </c>
      <c r="B732" s="4">
        <f t="shared" si="56"/>
        <v>2023</v>
      </c>
      <c r="C732" s="4">
        <f t="shared" si="57"/>
        <v>5</v>
      </c>
      <c r="D732" s="4">
        <f t="shared" si="58"/>
        <v>10</v>
      </c>
      <c r="E732" s="4" t="str">
        <f t="shared" si="59"/>
        <v>Wednesday</v>
      </c>
      <c r="F732" s="4" t="str">
        <f t="shared" si="60"/>
        <v>May</v>
      </c>
      <c r="G732" s="3">
        <v>45056</v>
      </c>
      <c r="H732" s="4" t="s">
        <v>763</v>
      </c>
      <c r="I732" s="4" t="s">
        <v>19</v>
      </c>
      <c r="J732" s="4" t="str" cm="1">
        <f t="array" ref="J732">_xlfn.IFS(K732&lt;30,"Young Adult",K732&lt;50,"Adult",K732&gt;=50,"Senior")</f>
        <v>Senior</v>
      </c>
      <c r="K732" s="4">
        <v>54</v>
      </c>
      <c r="L732" s="4" t="s">
        <v>23</v>
      </c>
      <c r="M732" s="4">
        <v>4</v>
      </c>
      <c r="N732" s="16">
        <v>500</v>
      </c>
      <c r="O732" s="17">
        <f>M732*N732</f>
        <v>2000</v>
      </c>
      <c r="P732" s="13">
        <f>$O732*$U$4</f>
        <v>30</v>
      </c>
      <c r="Q732" s="13">
        <f>$O732*$U$5</f>
        <v>40</v>
      </c>
      <c r="R732" s="13" cm="1">
        <f t="array" ref="R732">_xlfn.IFS(B732=2023,O732*$U$4,B732=2024,O732*$U$5)</f>
        <v>30</v>
      </c>
    </row>
    <row r="733" spans="1:18">
      <c r="A733" s="2">
        <v>732</v>
      </c>
      <c r="B733" s="4">
        <f t="shared" si="56"/>
        <v>2023</v>
      </c>
      <c r="C733" s="4">
        <f t="shared" si="57"/>
        <v>2</v>
      </c>
      <c r="D733" s="4">
        <f t="shared" si="58"/>
        <v>11</v>
      </c>
      <c r="E733" s="4" t="str">
        <f t="shared" si="59"/>
        <v>Saturday</v>
      </c>
      <c r="F733" s="4" t="str">
        <f t="shared" si="60"/>
        <v>February</v>
      </c>
      <c r="G733" s="3">
        <v>44968</v>
      </c>
      <c r="H733" s="4" t="s">
        <v>764</v>
      </c>
      <c r="I733" s="4" t="s">
        <v>19</v>
      </c>
      <c r="J733" s="4" t="str" cm="1">
        <f t="array" ref="J733">_xlfn.IFS(K733&lt;30,"Young Adult",K733&lt;50,"Adult",K733&gt;=50,"Senior")</f>
        <v>Senior</v>
      </c>
      <c r="K733" s="4">
        <v>61</v>
      </c>
      <c r="L733" s="4" t="s">
        <v>26</v>
      </c>
      <c r="M733" s="4">
        <v>2</v>
      </c>
      <c r="N733" s="16">
        <v>500</v>
      </c>
      <c r="O733" s="17">
        <f>M733*N733</f>
        <v>1000</v>
      </c>
      <c r="P733" s="13">
        <f>$O733*$U$4</f>
        <v>15</v>
      </c>
      <c r="Q733" s="13">
        <f>$O733*$U$5</f>
        <v>20</v>
      </c>
      <c r="R733" s="13" cm="1">
        <f t="array" ref="R733">_xlfn.IFS(B733=2023,O733*$U$4,B733=2024,O733*$U$5)</f>
        <v>15</v>
      </c>
    </row>
    <row r="734" spans="1:18">
      <c r="A734" s="2">
        <v>733</v>
      </c>
      <c r="B734" s="4">
        <f t="shared" si="56"/>
        <v>2023</v>
      </c>
      <c r="C734" s="4">
        <f t="shared" si="57"/>
        <v>8</v>
      </c>
      <c r="D734" s="4">
        <f t="shared" si="58"/>
        <v>29</v>
      </c>
      <c r="E734" s="4" t="str">
        <f t="shared" si="59"/>
        <v>Tuesday</v>
      </c>
      <c r="F734" s="4" t="str">
        <f t="shared" si="60"/>
        <v>August</v>
      </c>
      <c r="G734" s="3">
        <v>45167</v>
      </c>
      <c r="H734" s="4" t="s">
        <v>765</v>
      </c>
      <c r="I734" s="4" t="s">
        <v>19</v>
      </c>
      <c r="J734" s="4" t="str" cm="1">
        <f t="array" ref="J734">_xlfn.IFS(K734&lt;30,"Young Adult",K734&lt;50,"Adult",K734&gt;=50,"Senior")</f>
        <v>Adult</v>
      </c>
      <c r="K734" s="4">
        <v>34</v>
      </c>
      <c r="L734" s="4" t="s">
        <v>20</v>
      </c>
      <c r="M734" s="4">
        <v>1</v>
      </c>
      <c r="N734" s="16">
        <v>30</v>
      </c>
      <c r="O734" s="17">
        <f>M734*N734</f>
        <v>30</v>
      </c>
      <c r="P734" s="13">
        <f>$O734*$U$4</f>
        <v>0.44999999999999996</v>
      </c>
      <c r="Q734" s="13">
        <f>$O734*$U$5</f>
        <v>0.6</v>
      </c>
      <c r="R734" s="13" cm="1">
        <f t="array" ref="R734">_xlfn.IFS(B734=2023,O734*$U$4,B734=2024,O734*$U$5)</f>
        <v>0.44999999999999996</v>
      </c>
    </row>
    <row r="735" spans="1:18">
      <c r="A735" s="2">
        <v>734</v>
      </c>
      <c r="B735" s="4">
        <f t="shared" si="56"/>
        <v>2023</v>
      </c>
      <c r="C735" s="4">
        <f t="shared" si="57"/>
        <v>1</v>
      </c>
      <c r="D735" s="4">
        <f t="shared" si="58"/>
        <v>10</v>
      </c>
      <c r="E735" s="4" t="str">
        <f t="shared" si="59"/>
        <v>Tuesday</v>
      </c>
      <c r="F735" s="4" t="str">
        <f t="shared" si="60"/>
        <v>January</v>
      </c>
      <c r="G735" s="3">
        <v>44936</v>
      </c>
      <c r="H735" s="4" t="s">
        <v>766</v>
      </c>
      <c r="I735" s="4" t="s">
        <v>22</v>
      </c>
      <c r="J735" s="4" t="str" cm="1">
        <f t="array" ref="J735">_xlfn.IFS(K735&lt;30,"Young Adult",K735&lt;50,"Adult",K735&gt;=50,"Senior")</f>
        <v>Young Adult</v>
      </c>
      <c r="K735" s="4">
        <v>27</v>
      </c>
      <c r="L735" s="4" t="s">
        <v>23</v>
      </c>
      <c r="M735" s="4">
        <v>1</v>
      </c>
      <c r="N735" s="16">
        <v>30</v>
      </c>
      <c r="O735" s="17">
        <f>M735*N735</f>
        <v>30</v>
      </c>
      <c r="P735" s="13">
        <f>$O735*$U$4</f>
        <v>0.44999999999999996</v>
      </c>
      <c r="Q735" s="13">
        <f>$O735*$U$5</f>
        <v>0.6</v>
      </c>
      <c r="R735" s="13" cm="1">
        <f t="array" ref="R735">_xlfn.IFS(B735=2023,O735*$U$4,B735=2024,O735*$U$5)</f>
        <v>0.44999999999999996</v>
      </c>
    </row>
    <row r="736" spans="1:18">
      <c r="A736" s="2">
        <v>735</v>
      </c>
      <c r="B736" s="4">
        <f t="shared" si="56"/>
        <v>2023</v>
      </c>
      <c r="C736" s="4">
        <f t="shared" si="57"/>
        <v>10</v>
      </c>
      <c r="D736" s="4">
        <f t="shared" si="58"/>
        <v>4</v>
      </c>
      <c r="E736" s="4" t="str">
        <f t="shared" si="59"/>
        <v>Wednesday</v>
      </c>
      <c r="F736" s="4" t="str">
        <f t="shared" si="60"/>
        <v>October</v>
      </c>
      <c r="G736" s="3">
        <v>45203</v>
      </c>
      <c r="H736" s="4" t="s">
        <v>767</v>
      </c>
      <c r="I736" s="4" t="s">
        <v>22</v>
      </c>
      <c r="J736" s="4" t="str" cm="1">
        <f t="array" ref="J736">_xlfn.IFS(K736&lt;30,"Young Adult",K736&lt;50,"Adult",K736&gt;=50,"Senior")</f>
        <v>Senior</v>
      </c>
      <c r="K736" s="4">
        <v>64</v>
      </c>
      <c r="L736" s="4" t="s">
        <v>23</v>
      </c>
      <c r="M736" s="4">
        <v>4</v>
      </c>
      <c r="N736" s="16">
        <v>500</v>
      </c>
      <c r="O736" s="17">
        <f>M736*N736</f>
        <v>2000</v>
      </c>
      <c r="P736" s="13">
        <f>$O736*$U$4</f>
        <v>30</v>
      </c>
      <c r="Q736" s="13">
        <f>$O736*$U$5</f>
        <v>40</v>
      </c>
      <c r="R736" s="13" cm="1">
        <f t="array" ref="R736">_xlfn.IFS(B736=2023,O736*$U$4,B736=2024,O736*$U$5)</f>
        <v>30</v>
      </c>
    </row>
    <row r="737" spans="1:18">
      <c r="A737" s="2">
        <v>736</v>
      </c>
      <c r="B737" s="4">
        <f t="shared" si="56"/>
        <v>2023</v>
      </c>
      <c r="C737" s="4">
        <f t="shared" si="57"/>
        <v>1</v>
      </c>
      <c r="D737" s="4">
        <f t="shared" si="58"/>
        <v>27</v>
      </c>
      <c r="E737" s="4" t="str">
        <f t="shared" si="59"/>
        <v>Friday</v>
      </c>
      <c r="F737" s="4" t="str">
        <f t="shared" si="60"/>
        <v>January</v>
      </c>
      <c r="G737" s="3">
        <v>44953</v>
      </c>
      <c r="H737" s="4" t="s">
        <v>768</v>
      </c>
      <c r="I737" s="4" t="s">
        <v>19</v>
      </c>
      <c r="J737" s="4" t="str" cm="1">
        <f t="array" ref="J737">_xlfn.IFS(K737&lt;30,"Young Adult",K737&lt;50,"Adult",K737&gt;=50,"Senior")</f>
        <v>Young Adult</v>
      </c>
      <c r="K737" s="4">
        <v>29</v>
      </c>
      <c r="L737" s="4" t="s">
        <v>23</v>
      </c>
      <c r="M737" s="4">
        <v>4</v>
      </c>
      <c r="N737" s="16">
        <v>25</v>
      </c>
      <c r="O737" s="17">
        <f>M737*N737</f>
        <v>100</v>
      </c>
      <c r="P737" s="13">
        <f>$O737*$U$4</f>
        <v>1.5</v>
      </c>
      <c r="Q737" s="13">
        <f>$O737*$U$5</f>
        <v>2</v>
      </c>
      <c r="R737" s="13" cm="1">
        <f t="array" ref="R737">_xlfn.IFS(B737=2023,O737*$U$4,B737=2024,O737*$U$5)</f>
        <v>1.5</v>
      </c>
    </row>
    <row r="738" spans="1:18">
      <c r="A738" s="2">
        <v>737</v>
      </c>
      <c r="B738" s="4">
        <f t="shared" si="56"/>
        <v>2023</v>
      </c>
      <c r="C738" s="4">
        <f t="shared" si="57"/>
        <v>6</v>
      </c>
      <c r="D738" s="4">
        <f t="shared" si="58"/>
        <v>29</v>
      </c>
      <c r="E738" s="4" t="str">
        <f t="shared" si="59"/>
        <v>Thursday</v>
      </c>
      <c r="F738" s="4" t="str">
        <f t="shared" si="60"/>
        <v>June</v>
      </c>
      <c r="G738" s="3">
        <v>45106</v>
      </c>
      <c r="H738" s="4" t="s">
        <v>769</v>
      </c>
      <c r="I738" s="4" t="s">
        <v>22</v>
      </c>
      <c r="J738" s="4" t="str" cm="1">
        <f t="array" ref="J738">_xlfn.IFS(K738&lt;30,"Young Adult",K738&lt;50,"Adult",K738&gt;=50,"Senior")</f>
        <v>Adult</v>
      </c>
      <c r="K738" s="4">
        <v>33</v>
      </c>
      <c r="L738" s="4" t="s">
        <v>23</v>
      </c>
      <c r="M738" s="4">
        <v>1</v>
      </c>
      <c r="N738" s="16">
        <v>50</v>
      </c>
      <c r="O738" s="17">
        <f>M738*N738</f>
        <v>50</v>
      </c>
      <c r="P738" s="13">
        <f>$O738*$U$4</f>
        <v>0.75</v>
      </c>
      <c r="Q738" s="13">
        <f>$O738*$U$5</f>
        <v>1</v>
      </c>
      <c r="R738" s="13" cm="1">
        <f t="array" ref="R738">_xlfn.IFS(B738=2023,O738*$U$4,B738=2024,O738*$U$5)</f>
        <v>0.75</v>
      </c>
    </row>
    <row r="739" spans="1:18">
      <c r="A739" s="2">
        <v>738</v>
      </c>
      <c r="B739" s="4">
        <f t="shared" si="56"/>
        <v>2023</v>
      </c>
      <c r="C739" s="4">
        <f t="shared" si="57"/>
        <v>4</v>
      </c>
      <c r="D739" s="4">
        <f t="shared" si="58"/>
        <v>25</v>
      </c>
      <c r="E739" s="4" t="str">
        <f t="shared" si="59"/>
        <v>Tuesday</v>
      </c>
      <c r="F739" s="4" t="str">
        <f t="shared" si="60"/>
        <v>April</v>
      </c>
      <c r="G739" s="3">
        <v>45041</v>
      </c>
      <c r="H739" s="4" t="s">
        <v>770</v>
      </c>
      <c r="I739" s="4" t="s">
        <v>19</v>
      </c>
      <c r="J739" s="4" t="str" cm="1">
        <f t="array" ref="J739">_xlfn.IFS(K739&lt;30,"Young Adult",K739&lt;50,"Adult",K739&gt;=50,"Senior")</f>
        <v>Adult</v>
      </c>
      <c r="K739" s="4">
        <v>41</v>
      </c>
      <c r="L739" s="4" t="s">
        <v>23</v>
      </c>
      <c r="M739" s="4">
        <v>2</v>
      </c>
      <c r="N739" s="16">
        <v>50</v>
      </c>
      <c r="O739" s="17">
        <f>M739*N739</f>
        <v>100</v>
      </c>
      <c r="P739" s="13">
        <f>$O739*$U$4</f>
        <v>1.5</v>
      </c>
      <c r="Q739" s="13">
        <f>$O739*$U$5</f>
        <v>2</v>
      </c>
      <c r="R739" s="13" cm="1">
        <f t="array" ref="R739">_xlfn.IFS(B739=2023,O739*$U$4,B739=2024,O739*$U$5)</f>
        <v>1.5</v>
      </c>
    </row>
    <row r="740" spans="1:18">
      <c r="A740" s="2">
        <v>739</v>
      </c>
      <c r="B740" s="4">
        <f t="shared" si="56"/>
        <v>2023</v>
      </c>
      <c r="C740" s="4">
        <f t="shared" si="57"/>
        <v>11</v>
      </c>
      <c r="D740" s="4">
        <f t="shared" si="58"/>
        <v>29</v>
      </c>
      <c r="E740" s="4" t="str">
        <f t="shared" si="59"/>
        <v>Wednesday</v>
      </c>
      <c r="F740" s="4" t="str">
        <f t="shared" si="60"/>
        <v>November</v>
      </c>
      <c r="G740" s="3">
        <v>45259</v>
      </c>
      <c r="H740" s="4" t="s">
        <v>771</v>
      </c>
      <c r="I740" s="4" t="s">
        <v>19</v>
      </c>
      <c r="J740" s="4" t="str" cm="1">
        <f t="array" ref="J740">_xlfn.IFS(K740&lt;30,"Young Adult",K740&lt;50,"Adult",K740&gt;=50,"Senior")</f>
        <v>Adult</v>
      </c>
      <c r="K740" s="4">
        <v>36</v>
      </c>
      <c r="L740" s="4" t="s">
        <v>20</v>
      </c>
      <c r="M740" s="4">
        <v>1</v>
      </c>
      <c r="N740" s="16">
        <v>25</v>
      </c>
      <c r="O740" s="17">
        <f>M740*N740</f>
        <v>25</v>
      </c>
      <c r="P740" s="13">
        <f>$O740*$U$4</f>
        <v>0.375</v>
      </c>
      <c r="Q740" s="13">
        <f>$O740*$U$5</f>
        <v>0.5</v>
      </c>
      <c r="R740" s="13" cm="1">
        <f t="array" ref="R740">_xlfn.IFS(B740=2023,O740*$U$4,B740=2024,O740*$U$5)</f>
        <v>0.375</v>
      </c>
    </row>
    <row r="741" spans="1:18">
      <c r="A741" s="2">
        <v>740</v>
      </c>
      <c r="B741" s="4">
        <f t="shared" si="56"/>
        <v>2023</v>
      </c>
      <c r="C741" s="4">
        <f t="shared" si="57"/>
        <v>2</v>
      </c>
      <c r="D741" s="4">
        <f t="shared" si="58"/>
        <v>5</v>
      </c>
      <c r="E741" s="4" t="str">
        <f t="shared" si="59"/>
        <v>Sunday</v>
      </c>
      <c r="F741" s="4" t="str">
        <f t="shared" si="60"/>
        <v>February</v>
      </c>
      <c r="G741" s="3">
        <v>44962</v>
      </c>
      <c r="H741" s="4" t="s">
        <v>772</v>
      </c>
      <c r="I741" s="4" t="s">
        <v>22</v>
      </c>
      <c r="J741" s="4" t="str" cm="1">
        <f t="array" ref="J741">_xlfn.IFS(K741&lt;30,"Young Adult",K741&lt;50,"Adult",K741&gt;=50,"Senior")</f>
        <v>Young Adult</v>
      </c>
      <c r="K741" s="4">
        <v>25</v>
      </c>
      <c r="L741" s="4" t="s">
        <v>20</v>
      </c>
      <c r="M741" s="4">
        <v>4</v>
      </c>
      <c r="N741" s="16">
        <v>50</v>
      </c>
      <c r="O741" s="17">
        <f>M741*N741</f>
        <v>200</v>
      </c>
      <c r="P741" s="13">
        <f>$O741*$U$4</f>
        <v>3</v>
      </c>
      <c r="Q741" s="13">
        <f>$O741*$U$5</f>
        <v>4</v>
      </c>
      <c r="R741" s="13" cm="1">
        <f t="array" ref="R741">_xlfn.IFS(B741=2023,O741*$U$4,B741=2024,O741*$U$5)</f>
        <v>3</v>
      </c>
    </row>
    <row r="742" spans="1:18">
      <c r="A742" s="2">
        <v>741</v>
      </c>
      <c r="B742" s="4">
        <f t="shared" si="56"/>
        <v>2023</v>
      </c>
      <c r="C742" s="4">
        <f t="shared" si="57"/>
        <v>11</v>
      </c>
      <c r="D742" s="4">
        <f t="shared" si="58"/>
        <v>30</v>
      </c>
      <c r="E742" s="4" t="str">
        <f t="shared" si="59"/>
        <v>Thursday</v>
      </c>
      <c r="F742" s="4" t="str">
        <f t="shared" si="60"/>
        <v>November</v>
      </c>
      <c r="G742" s="3">
        <v>45260</v>
      </c>
      <c r="H742" s="4" t="s">
        <v>773</v>
      </c>
      <c r="I742" s="4" t="s">
        <v>19</v>
      </c>
      <c r="J742" s="4" t="str" cm="1">
        <f t="array" ref="J742">_xlfn.IFS(K742&lt;30,"Young Adult",K742&lt;50,"Adult",K742&gt;=50,"Senior")</f>
        <v>Adult</v>
      </c>
      <c r="K742" s="4">
        <v>48</v>
      </c>
      <c r="L742" s="4" t="s">
        <v>23</v>
      </c>
      <c r="M742" s="4">
        <v>1</v>
      </c>
      <c r="N742" s="16">
        <v>300</v>
      </c>
      <c r="O742" s="17">
        <f>M742*N742</f>
        <v>300</v>
      </c>
      <c r="P742" s="13">
        <f>$O742*$U$4</f>
        <v>4.5</v>
      </c>
      <c r="Q742" s="13">
        <f>$O742*$U$5</f>
        <v>6</v>
      </c>
      <c r="R742" s="13" cm="1">
        <f t="array" ref="R742">_xlfn.IFS(B742=2023,O742*$U$4,B742=2024,O742*$U$5)</f>
        <v>4.5</v>
      </c>
    </row>
    <row r="743" spans="1:18">
      <c r="A743" s="2">
        <v>742</v>
      </c>
      <c r="B743" s="4">
        <f t="shared" si="56"/>
        <v>2023</v>
      </c>
      <c r="C743" s="4">
        <f t="shared" si="57"/>
        <v>1</v>
      </c>
      <c r="D743" s="4">
        <f t="shared" si="58"/>
        <v>21</v>
      </c>
      <c r="E743" s="4" t="str">
        <f t="shared" si="59"/>
        <v>Saturday</v>
      </c>
      <c r="F743" s="4" t="str">
        <f t="shared" si="60"/>
        <v>January</v>
      </c>
      <c r="G743" s="3">
        <v>44947</v>
      </c>
      <c r="H743" s="4" t="s">
        <v>774</v>
      </c>
      <c r="I743" s="4" t="s">
        <v>22</v>
      </c>
      <c r="J743" s="4" t="str" cm="1">
        <f t="array" ref="J743">_xlfn.IFS(K743&lt;30,"Young Adult",K743&lt;50,"Adult",K743&gt;=50,"Senior")</f>
        <v>Adult</v>
      </c>
      <c r="K743" s="4">
        <v>38</v>
      </c>
      <c r="L743" s="4" t="s">
        <v>26</v>
      </c>
      <c r="M743" s="4">
        <v>4</v>
      </c>
      <c r="N743" s="16">
        <v>500</v>
      </c>
      <c r="O743" s="17">
        <f>M743*N743</f>
        <v>2000</v>
      </c>
      <c r="P743" s="13">
        <f>$O743*$U$4</f>
        <v>30</v>
      </c>
      <c r="Q743" s="13">
        <f>$O743*$U$5</f>
        <v>40</v>
      </c>
      <c r="R743" s="13" cm="1">
        <f t="array" ref="R743">_xlfn.IFS(B743=2023,O743*$U$4,B743=2024,O743*$U$5)</f>
        <v>30</v>
      </c>
    </row>
    <row r="744" spans="1:18">
      <c r="A744" s="2">
        <v>743</v>
      </c>
      <c r="B744" s="4">
        <f t="shared" si="56"/>
        <v>2023</v>
      </c>
      <c r="C744" s="4">
        <f t="shared" si="57"/>
        <v>1</v>
      </c>
      <c r="D744" s="4">
        <f t="shared" si="58"/>
        <v>16</v>
      </c>
      <c r="E744" s="4" t="str">
        <f t="shared" si="59"/>
        <v>Monday</v>
      </c>
      <c r="F744" s="4" t="str">
        <f t="shared" si="60"/>
        <v>January</v>
      </c>
      <c r="G744" s="3">
        <v>44942</v>
      </c>
      <c r="H744" s="4" t="s">
        <v>775</v>
      </c>
      <c r="I744" s="4" t="s">
        <v>22</v>
      </c>
      <c r="J744" s="4" t="str" cm="1">
        <f t="array" ref="J744">_xlfn.IFS(K744&lt;30,"Young Adult",K744&lt;50,"Adult",K744&gt;=50,"Senior")</f>
        <v>Adult</v>
      </c>
      <c r="K744" s="4">
        <v>34</v>
      </c>
      <c r="L744" s="4" t="s">
        <v>20</v>
      </c>
      <c r="M744" s="4">
        <v>4</v>
      </c>
      <c r="N744" s="16">
        <v>500</v>
      </c>
      <c r="O744" s="17">
        <f>M744*N744</f>
        <v>2000</v>
      </c>
      <c r="P744" s="13">
        <f>$O744*$U$4</f>
        <v>30</v>
      </c>
      <c r="Q744" s="13">
        <f>$O744*$U$5</f>
        <v>40</v>
      </c>
      <c r="R744" s="13" cm="1">
        <f t="array" ref="R744">_xlfn.IFS(B744=2023,O744*$U$4,B744=2024,O744*$U$5)</f>
        <v>30</v>
      </c>
    </row>
    <row r="745" spans="1:18">
      <c r="A745" s="2">
        <v>744</v>
      </c>
      <c r="B745" s="4">
        <f t="shared" si="56"/>
        <v>2023</v>
      </c>
      <c r="C745" s="4">
        <f t="shared" si="57"/>
        <v>5</v>
      </c>
      <c r="D745" s="4">
        <f t="shared" si="58"/>
        <v>7</v>
      </c>
      <c r="E745" s="4" t="str">
        <f t="shared" si="59"/>
        <v>Sunday</v>
      </c>
      <c r="F745" s="4" t="str">
        <f t="shared" si="60"/>
        <v>May</v>
      </c>
      <c r="G745" s="3">
        <v>45053</v>
      </c>
      <c r="H745" s="4" t="s">
        <v>776</v>
      </c>
      <c r="I745" s="4" t="s">
        <v>19</v>
      </c>
      <c r="J745" s="4" t="str" cm="1">
        <f t="array" ref="J745">_xlfn.IFS(K745&lt;30,"Young Adult",K745&lt;50,"Adult",K745&gt;=50,"Senior")</f>
        <v>Adult</v>
      </c>
      <c r="K745" s="4">
        <v>40</v>
      </c>
      <c r="L745" s="4" t="s">
        <v>26</v>
      </c>
      <c r="M745" s="4">
        <v>1</v>
      </c>
      <c r="N745" s="16">
        <v>25</v>
      </c>
      <c r="O745" s="17">
        <f>M745*N745</f>
        <v>25</v>
      </c>
      <c r="P745" s="13">
        <f>$O745*$U$4</f>
        <v>0.375</v>
      </c>
      <c r="Q745" s="13">
        <f>$O745*$U$5</f>
        <v>0.5</v>
      </c>
      <c r="R745" s="13" cm="1">
        <f t="array" ref="R745">_xlfn.IFS(B745=2023,O745*$U$4,B745=2024,O745*$U$5)</f>
        <v>0.375</v>
      </c>
    </row>
    <row r="746" spans="1:18">
      <c r="A746" s="2">
        <v>745</v>
      </c>
      <c r="B746" s="4">
        <f t="shared" si="56"/>
        <v>2023</v>
      </c>
      <c r="C746" s="4">
        <f t="shared" si="57"/>
        <v>4</v>
      </c>
      <c r="D746" s="4">
        <f t="shared" si="58"/>
        <v>13</v>
      </c>
      <c r="E746" s="4" t="str">
        <f t="shared" si="59"/>
        <v>Thursday</v>
      </c>
      <c r="F746" s="4" t="str">
        <f t="shared" si="60"/>
        <v>April</v>
      </c>
      <c r="G746" s="3">
        <v>45029</v>
      </c>
      <c r="H746" s="4" t="s">
        <v>777</v>
      </c>
      <c r="I746" s="4" t="s">
        <v>19</v>
      </c>
      <c r="J746" s="4" t="str" cm="1">
        <f t="array" ref="J746">_xlfn.IFS(K746&lt;30,"Young Adult",K746&lt;50,"Adult",K746&gt;=50,"Senior")</f>
        <v>Senior</v>
      </c>
      <c r="K746" s="4">
        <v>54</v>
      </c>
      <c r="L746" s="4" t="s">
        <v>20</v>
      </c>
      <c r="M746" s="4">
        <v>2</v>
      </c>
      <c r="N746" s="16">
        <v>50</v>
      </c>
      <c r="O746" s="17">
        <f>M746*N746</f>
        <v>100</v>
      </c>
      <c r="P746" s="13">
        <f>$O746*$U$4</f>
        <v>1.5</v>
      </c>
      <c r="Q746" s="13">
        <f>$O746*$U$5</f>
        <v>2</v>
      </c>
      <c r="R746" s="13" cm="1">
        <f t="array" ref="R746">_xlfn.IFS(B746=2023,O746*$U$4,B746=2024,O746*$U$5)</f>
        <v>1.5</v>
      </c>
    </row>
    <row r="747" spans="1:18">
      <c r="A747" s="2">
        <v>746</v>
      </c>
      <c r="B747" s="4">
        <f t="shared" si="56"/>
        <v>2023</v>
      </c>
      <c r="C747" s="4">
        <f t="shared" si="57"/>
        <v>1</v>
      </c>
      <c r="D747" s="4">
        <f t="shared" si="58"/>
        <v>11</v>
      </c>
      <c r="E747" s="4" t="str">
        <f t="shared" si="59"/>
        <v>Wednesday</v>
      </c>
      <c r="F747" s="4" t="str">
        <f t="shared" si="60"/>
        <v>January</v>
      </c>
      <c r="G747" s="3">
        <v>44937</v>
      </c>
      <c r="H747" s="4" t="s">
        <v>778</v>
      </c>
      <c r="I747" s="4" t="s">
        <v>22</v>
      </c>
      <c r="J747" s="4" t="str" cm="1">
        <f t="array" ref="J747">_xlfn.IFS(K747&lt;30,"Young Adult",K747&lt;50,"Adult",K747&gt;=50,"Senior")</f>
        <v>Adult</v>
      </c>
      <c r="K747" s="4">
        <v>33</v>
      </c>
      <c r="L747" s="4" t="s">
        <v>23</v>
      </c>
      <c r="M747" s="4">
        <v>3</v>
      </c>
      <c r="N747" s="16">
        <v>30</v>
      </c>
      <c r="O747" s="17">
        <f>M747*N747</f>
        <v>90</v>
      </c>
      <c r="P747" s="13">
        <f>$O747*$U$4</f>
        <v>1.3499999999999999</v>
      </c>
      <c r="Q747" s="13">
        <f>$O747*$U$5</f>
        <v>1.8</v>
      </c>
      <c r="R747" s="13" cm="1">
        <f t="array" ref="R747">_xlfn.IFS(B747=2023,O747*$U$4,B747=2024,O747*$U$5)</f>
        <v>1.3499999999999999</v>
      </c>
    </row>
    <row r="748" spans="1:18">
      <c r="A748" s="2">
        <v>747</v>
      </c>
      <c r="B748" s="4">
        <f t="shared" si="56"/>
        <v>2023</v>
      </c>
      <c r="C748" s="4">
        <f t="shared" si="57"/>
        <v>11</v>
      </c>
      <c r="D748" s="4">
        <f t="shared" si="58"/>
        <v>15</v>
      </c>
      <c r="E748" s="4" t="str">
        <f t="shared" si="59"/>
        <v>Wednesday</v>
      </c>
      <c r="F748" s="4" t="str">
        <f t="shared" si="60"/>
        <v>November</v>
      </c>
      <c r="G748" s="3">
        <v>45245</v>
      </c>
      <c r="H748" s="4" t="s">
        <v>779</v>
      </c>
      <c r="I748" s="4" t="s">
        <v>19</v>
      </c>
      <c r="J748" s="4" t="str" cm="1">
        <f t="array" ref="J748">_xlfn.IFS(K748&lt;30,"Young Adult",K748&lt;50,"Adult",K748&gt;=50,"Senior")</f>
        <v>Young Adult</v>
      </c>
      <c r="K748" s="4">
        <v>23</v>
      </c>
      <c r="L748" s="4" t="s">
        <v>20</v>
      </c>
      <c r="M748" s="4">
        <v>1</v>
      </c>
      <c r="N748" s="16">
        <v>30</v>
      </c>
      <c r="O748" s="17">
        <f>M748*N748</f>
        <v>30</v>
      </c>
      <c r="P748" s="13">
        <f>$O748*$U$4</f>
        <v>0.44999999999999996</v>
      </c>
      <c r="Q748" s="13">
        <f>$O748*$U$5</f>
        <v>0.6</v>
      </c>
      <c r="R748" s="13" cm="1">
        <f t="array" ref="R748">_xlfn.IFS(B748=2023,O748*$U$4,B748=2024,O748*$U$5)</f>
        <v>0.44999999999999996</v>
      </c>
    </row>
    <row r="749" spans="1:18">
      <c r="A749" s="2">
        <v>748</v>
      </c>
      <c r="B749" s="4">
        <f t="shared" si="56"/>
        <v>2023</v>
      </c>
      <c r="C749" s="4">
        <f t="shared" si="57"/>
        <v>3</v>
      </c>
      <c r="D749" s="4">
        <f t="shared" si="58"/>
        <v>20</v>
      </c>
      <c r="E749" s="4" t="str">
        <f t="shared" si="59"/>
        <v>Monday</v>
      </c>
      <c r="F749" s="4" t="str">
        <f t="shared" si="60"/>
        <v>March</v>
      </c>
      <c r="G749" s="3">
        <v>45005</v>
      </c>
      <c r="H749" s="4" t="s">
        <v>780</v>
      </c>
      <c r="I749" s="4" t="s">
        <v>19</v>
      </c>
      <c r="J749" s="4" t="str" cm="1">
        <f t="array" ref="J749">_xlfn.IFS(K749&lt;30,"Young Adult",K749&lt;50,"Adult",K749&gt;=50,"Senior")</f>
        <v>Young Adult</v>
      </c>
      <c r="K749" s="4">
        <v>25</v>
      </c>
      <c r="L749" s="4" t="s">
        <v>23</v>
      </c>
      <c r="M749" s="4">
        <v>3</v>
      </c>
      <c r="N749" s="16">
        <v>50</v>
      </c>
      <c r="O749" s="17">
        <f>M749*N749</f>
        <v>150</v>
      </c>
      <c r="P749" s="13">
        <f>$O749*$U$4</f>
        <v>2.25</v>
      </c>
      <c r="Q749" s="13">
        <f>$O749*$U$5</f>
        <v>3</v>
      </c>
      <c r="R749" s="13" cm="1">
        <f t="array" ref="R749">_xlfn.IFS(B749=2023,O749*$U$4,B749=2024,O749*$U$5)</f>
        <v>2.25</v>
      </c>
    </row>
    <row r="750" spans="1:18">
      <c r="A750" s="2">
        <v>749</v>
      </c>
      <c r="B750" s="4">
        <f t="shared" si="56"/>
        <v>2023</v>
      </c>
      <c r="C750" s="4">
        <f t="shared" si="57"/>
        <v>5</v>
      </c>
      <c r="D750" s="4">
        <f t="shared" si="58"/>
        <v>3</v>
      </c>
      <c r="E750" s="4" t="str">
        <f t="shared" si="59"/>
        <v>Wednesday</v>
      </c>
      <c r="F750" s="4" t="str">
        <f t="shared" si="60"/>
        <v>May</v>
      </c>
      <c r="G750" s="3">
        <v>45049</v>
      </c>
      <c r="H750" s="4" t="s">
        <v>781</v>
      </c>
      <c r="I750" s="4" t="s">
        <v>19</v>
      </c>
      <c r="J750" s="4" t="str" cm="1">
        <f t="array" ref="J750">_xlfn.IFS(K750&lt;30,"Young Adult",K750&lt;50,"Adult",K750&gt;=50,"Senior")</f>
        <v>Adult</v>
      </c>
      <c r="K750" s="4">
        <v>42</v>
      </c>
      <c r="L750" s="4" t="s">
        <v>20</v>
      </c>
      <c r="M750" s="4">
        <v>1</v>
      </c>
      <c r="N750" s="16">
        <v>30</v>
      </c>
      <c r="O750" s="17">
        <f>M750*N750</f>
        <v>30</v>
      </c>
      <c r="P750" s="13">
        <f>$O750*$U$4</f>
        <v>0.44999999999999996</v>
      </c>
      <c r="Q750" s="13">
        <f>$O750*$U$5</f>
        <v>0.6</v>
      </c>
      <c r="R750" s="13" cm="1">
        <f t="array" ref="R750">_xlfn.IFS(B750=2023,O750*$U$4,B750=2024,O750*$U$5)</f>
        <v>0.44999999999999996</v>
      </c>
    </row>
    <row r="751" spans="1:18">
      <c r="A751" s="2">
        <v>750</v>
      </c>
      <c r="B751" s="4">
        <f t="shared" si="56"/>
        <v>2023</v>
      </c>
      <c r="C751" s="4">
        <f t="shared" si="57"/>
        <v>3</v>
      </c>
      <c r="D751" s="4">
        <f t="shared" si="58"/>
        <v>6</v>
      </c>
      <c r="E751" s="4" t="str">
        <f t="shared" si="59"/>
        <v>Monday</v>
      </c>
      <c r="F751" s="4" t="str">
        <f t="shared" si="60"/>
        <v>March</v>
      </c>
      <c r="G751" s="3">
        <v>44991</v>
      </c>
      <c r="H751" s="4" t="s">
        <v>782</v>
      </c>
      <c r="I751" s="4" t="s">
        <v>22</v>
      </c>
      <c r="J751" s="4" t="str" cm="1">
        <f t="array" ref="J751">_xlfn.IFS(K751&lt;30,"Young Adult",K751&lt;50,"Adult",K751&gt;=50,"Senior")</f>
        <v>Adult</v>
      </c>
      <c r="K751" s="4">
        <v>35</v>
      </c>
      <c r="L751" s="4" t="s">
        <v>23</v>
      </c>
      <c r="M751" s="4">
        <v>3</v>
      </c>
      <c r="N751" s="16">
        <v>25</v>
      </c>
      <c r="O751" s="17">
        <f>M751*N751</f>
        <v>75</v>
      </c>
      <c r="P751" s="13">
        <f>$O751*$U$4</f>
        <v>1.125</v>
      </c>
      <c r="Q751" s="13">
        <f>$O751*$U$5</f>
        <v>1.5</v>
      </c>
      <c r="R751" s="13" cm="1">
        <f t="array" ref="R751">_xlfn.IFS(B751=2023,O751*$U$4,B751=2024,O751*$U$5)</f>
        <v>1.125</v>
      </c>
    </row>
    <row r="752" spans="1:18">
      <c r="A752" s="2">
        <v>751</v>
      </c>
      <c r="B752" s="4">
        <f t="shared" si="56"/>
        <v>2023</v>
      </c>
      <c r="C752" s="4">
        <f t="shared" si="57"/>
        <v>8</v>
      </c>
      <c r="D752" s="4">
        <f t="shared" si="58"/>
        <v>31</v>
      </c>
      <c r="E752" s="4" t="str">
        <f t="shared" si="59"/>
        <v>Thursday</v>
      </c>
      <c r="F752" s="4" t="str">
        <f t="shared" si="60"/>
        <v>August</v>
      </c>
      <c r="G752" s="3">
        <v>45169</v>
      </c>
      <c r="H752" s="4" t="s">
        <v>783</v>
      </c>
      <c r="I752" s="4" t="s">
        <v>22</v>
      </c>
      <c r="J752" s="4" t="str" cm="1">
        <f t="array" ref="J752">_xlfn.IFS(K752&lt;30,"Young Adult",K752&lt;50,"Adult",K752&gt;=50,"Senior")</f>
        <v>Adult</v>
      </c>
      <c r="K752" s="4">
        <v>42</v>
      </c>
      <c r="L752" s="4" t="s">
        <v>23</v>
      </c>
      <c r="M752" s="4">
        <v>2</v>
      </c>
      <c r="N752" s="16">
        <v>25</v>
      </c>
      <c r="O752" s="17">
        <f>M752*N752</f>
        <v>50</v>
      </c>
      <c r="P752" s="13">
        <f>$O752*$U$4</f>
        <v>0.75</v>
      </c>
      <c r="Q752" s="13">
        <f>$O752*$U$5</f>
        <v>1</v>
      </c>
      <c r="R752" s="13" cm="1">
        <f t="array" ref="R752">_xlfn.IFS(B752=2023,O752*$U$4,B752=2024,O752*$U$5)</f>
        <v>0.75</v>
      </c>
    </row>
    <row r="753" spans="1:18">
      <c r="A753" s="2">
        <v>752</v>
      </c>
      <c r="B753" s="4">
        <f t="shared" si="56"/>
        <v>2023</v>
      </c>
      <c r="C753" s="4">
        <f t="shared" si="57"/>
        <v>12</v>
      </c>
      <c r="D753" s="4">
        <f t="shared" si="58"/>
        <v>9</v>
      </c>
      <c r="E753" s="4" t="str">
        <f t="shared" si="59"/>
        <v>Saturday</v>
      </c>
      <c r="F753" s="4" t="str">
        <f t="shared" si="60"/>
        <v>December</v>
      </c>
      <c r="G753" s="3">
        <v>45269</v>
      </c>
      <c r="H753" s="4" t="s">
        <v>784</v>
      </c>
      <c r="I753" s="4" t="s">
        <v>19</v>
      </c>
      <c r="J753" s="4" t="str" cm="1">
        <f t="array" ref="J753">_xlfn.IFS(K753&lt;30,"Young Adult",K753&lt;50,"Adult",K753&gt;=50,"Senior")</f>
        <v>Young Adult</v>
      </c>
      <c r="K753" s="4">
        <v>29</v>
      </c>
      <c r="L753" s="4" t="s">
        <v>23</v>
      </c>
      <c r="M753" s="4">
        <v>2</v>
      </c>
      <c r="N753" s="16">
        <v>50</v>
      </c>
      <c r="O753" s="17">
        <f>M753*N753</f>
        <v>100</v>
      </c>
      <c r="P753" s="13">
        <f>$O753*$U$4</f>
        <v>1.5</v>
      </c>
      <c r="Q753" s="13">
        <f>$O753*$U$5</f>
        <v>2</v>
      </c>
      <c r="R753" s="13" cm="1">
        <f t="array" ref="R753">_xlfn.IFS(B753=2023,O753*$U$4,B753=2024,O753*$U$5)</f>
        <v>1.5</v>
      </c>
    </row>
    <row r="754" spans="1:18">
      <c r="A754" s="2">
        <v>753</v>
      </c>
      <c r="B754" s="4">
        <f t="shared" si="56"/>
        <v>2023</v>
      </c>
      <c r="C754" s="4">
        <f t="shared" si="57"/>
        <v>2</v>
      </c>
      <c r="D754" s="4">
        <f t="shared" si="58"/>
        <v>28</v>
      </c>
      <c r="E754" s="4" t="str">
        <f t="shared" si="59"/>
        <v>Tuesday</v>
      </c>
      <c r="F754" s="4" t="str">
        <f t="shared" si="60"/>
        <v>February</v>
      </c>
      <c r="G754" s="3">
        <v>44985</v>
      </c>
      <c r="H754" s="4" t="s">
        <v>785</v>
      </c>
      <c r="I754" s="4" t="s">
        <v>22</v>
      </c>
      <c r="J754" s="4" t="str" cm="1">
        <f t="array" ref="J754">_xlfn.IFS(K754&lt;30,"Young Adult",K754&lt;50,"Adult",K754&gt;=50,"Senior")</f>
        <v>Adult</v>
      </c>
      <c r="K754" s="4">
        <v>32</v>
      </c>
      <c r="L754" s="4" t="s">
        <v>23</v>
      </c>
      <c r="M754" s="4">
        <v>1</v>
      </c>
      <c r="N754" s="16">
        <v>30</v>
      </c>
      <c r="O754" s="17">
        <f>M754*N754</f>
        <v>30</v>
      </c>
      <c r="P754" s="13">
        <f>$O754*$U$4</f>
        <v>0.44999999999999996</v>
      </c>
      <c r="Q754" s="13">
        <f>$O754*$U$5</f>
        <v>0.6</v>
      </c>
      <c r="R754" s="13" cm="1">
        <f t="array" ref="R754">_xlfn.IFS(B754=2023,O754*$U$4,B754=2024,O754*$U$5)</f>
        <v>0.44999999999999996</v>
      </c>
    </row>
    <row r="755" spans="1:18">
      <c r="A755" s="2">
        <v>754</v>
      </c>
      <c r="B755" s="4">
        <f t="shared" si="56"/>
        <v>2023</v>
      </c>
      <c r="C755" s="4">
        <f t="shared" si="57"/>
        <v>10</v>
      </c>
      <c r="D755" s="4">
        <f t="shared" si="58"/>
        <v>16</v>
      </c>
      <c r="E755" s="4" t="str">
        <f t="shared" si="59"/>
        <v>Monday</v>
      </c>
      <c r="F755" s="4" t="str">
        <f t="shared" si="60"/>
        <v>October</v>
      </c>
      <c r="G755" s="3">
        <v>45215</v>
      </c>
      <c r="H755" s="4" t="s">
        <v>786</v>
      </c>
      <c r="I755" s="4" t="s">
        <v>22</v>
      </c>
      <c r="J755" s="4" t="str" cm="1">
        <f t="array" ref="J755">_xlfn.IFS(K755&lt;30,"Young Adult",K755&lt;50,"Adult",K755&gt;=50,"Senior")</f>
        <v>Adult</v>
      </c>
      <c r="K755" s="4">
        <v>43</v>
      </c>
      <c r="L755" s="4" t="s">
        <v>26</v>
      </c>
      <c r="M755" s="4">
        <v>4</v>
      </c>
      <c r="N755" s="16">
        <v>25</v>
      </c>
      <c r="O755" s="17">
        <f>M755*N755</f>
        <v>100</v>
      </c>
      <c r="P755" s="13">
        <f>$O755*$U$4</f>
        <v>1.5</v>
      </c>
      <c r="Q755" s="13">
        <f>$O755*$U$5</f>
        <v>2</v>
      </c>
      <c r="R755" s="13" cm="1">
        <f t="array" ref="R755">_xlfn.IFS(B755=2023,O755*$U$4,B755=2024,O755*$U$5)</f>
        <v>1.5</v>
      </c>
    </row>
    <row r="756" spans="1:18">
      <c r="A756" s="2">
        <v>755</v>
      </c>
      <c r="B756" s="4">
        <f t="shared" si="56"/>
        <v>2023</v>
      </c>
      <c r="C756" s="4">
        <f t="shared" si="57"/>
        <v>4</v>
      </c>
      <c r="D756" s="4">
        <f t="shared" si="58"/>
        <v>22</v>
      </c>
      <c r="E756" s="4" t="str">
        <f t="shared" si="59"/>
        <v>Saturday</v>
      </c>
      <c r="F756" s="4" t="str">
        <f t="shared" si="60"/>
        <v>April</v>
      </c>
      <c r="G756" s="3">
        <v>45038</v>
      </c>
      <c r="H756" s="4" t="s">
        <v>787</v>
      </c>
      <c r="I756" s="4" t="s">
        <v>22</v>
      </c>
      <c r="J756" s="4" t="str" cm="1">
        <f t="array" ref="J756">_xlfn.IFS(K756&lt;30,"Young Adult",K756&lt;50,"Adult",K756&gt;=50,"Senior")</f>
        <v>Senior</v>
      </c>
      <c r="K756" s="4">
        <v>58</v>
      </c>
      <c r="L756" s="4" t="s">
        <v>23</v>
      </c>
      <c r="M756" s="4">
        <v>3</v>
      </c>
      <c r="N756" s="16">
        <v>25</v>
      </c>
      <c r="O756" s="17">
        <f>M756*N756</f>
        <v>75</v>
      </c>
      <c r="P756" s="13">
        <f>$O756*$U$4</f>
        <v>1.125</v>
      </c>
      <c r="Q756" s="13">
        <f>$O756*$U$5</f>
        <v>1.5</v>
      </c>
      <c r="R756" s="13" cm="1">
        <f t="array" ref="R756">_xlfn.IFS(B756=2023,O756*$U$4,B756=2024,O756*$U$5)</f>
        <v>1.125</v>
      </c>
    </row>
    <row r="757" spans="1:18">
      <c r="A757" s="2">
        <v>756</v>
      </c>
      <c r="B757" s="4">
        <f t="shared" si="56"/>
        <v>2023</v>
      </c>
      <c r="C757" s="4">
        <f t="shared" si="57"/>
        <v>8</v>
      </c>
      <c r="D757" s="4">
        <f t="shared" si="58"/>
        <v>27</v>
      </c>
      <c r="E757" s="4" t="str">
        <f t="shared" si="59"/>
        <v>Sunday</v>
      </c>
      <c r="F757" s="4" t="str">
        <f t="shared" si="60"/>
        <v>August</v>
      </c>
      <c r="G757" s="3">
        <v>45165</v>
      </c>
      <c r="H757" s="4" t="s">
        <v>788</v>
      </c>
      <c r="I757" s="4" t="s">
        <v>22</v>
      </c>
      <c r="J757" s="4" t="str" cm="1">
        <f t="array" ref="J757">_xlfn.IFS(K757&lt;30,"Young Adult",K757&lt;50,"Adult",K757&gt;=50,"Senior")</f>
        <v>Senior</v>
      </c>
      <c r="K757" s="4">
        <v>62</v>
      </c>
      <c r="L757" s="4" t="s">
        <v>26</v>
      </c>
      <c r="M757" s="4">
        <v>4</v>
      </c>
      <c r="N757" s="16">
        <v>300</v>
      </c>
      <c r="O757" s="17">
        <f>M757*N757</f>
        <v>1200</v>
      </c>
      <c r="P757" s="13">
        <f>$O757*$U$4</f>
        <v>18</v>
      </c>
      <c r="Q757" s="13">
        <f>$O757*$U$5</f>
        <v>24</v>
      </c>
      <c r="R757" s="13" cm="1">
        <f t="array" ref="R757">_xlfn.IFS(B757=2023,O757*$U$4,B757=2024,O757*$U$5)</f>
        <v>18</v>
      </c>
    </row>
    <row r="758" spans="1:18">
      <c r="A758" s="2">
        <v>757</v>
      </c>
      <c r="B758" s="4">
        <f t="shared" si="56"/>
        <v>2023</v>
      </c>
      <c r="C758" s="4">
        <f t="shared" si="57"/>
        <v>12</v>
      </c>
      <c r="D758" s="4">
        <f t="shared" si="58"/>
        <v>25</v>
      </c>
      <c r="E758" s="4" t="str">
        <f t="shared" si="59"/>
        <v>Monday</v>
      </c>
      <c r="F758" s="4" t="str">
        <f t="shared" si="60"/>
        <v>December</v>
      </c>
      <c r="G758" s="3">
        <v>45285</v>
      </c>
      <c r="H758" s="4" t="s">
        <v>789</v>
      </c>
      <c r="I758" s="4" t="s">
        <v>22</v>
      </c>
      <c r="J758" s="4" t="str" cm="1">
        <f t="array" ref="J758">_xlfn.IFS(K758&lt;30,"Young Adult",K758&lt;50,"Adult",K758&gt;=50,"Senior")</f>
        <v>Adult</v>
      </c>
      <c r="K758" s="4">
        <v>43</v>
      </c>
      <c r="L758" s="4" t="s">
        <v>26</v>
      </c>
      <c r="M758" s="4">
        <v>4</v>
      </c>
      <c r="N758" s="16">
        <v>300</v>
      </c>
      <c r="O758" s="17">
        <f>M758*N758</f>
        <v>1200</v>
      </c>
      <c r="P758" s="13">
        <f>$O758*$U$4</f>
        <v>18</v>
      </c>
      <c r="Q758" s="13">
        <f>$O758*$U$5</f>
        <v>24</v>
      </c>
      <c r="R758" s="13" cm="1">
        <f t="array" ref="R758">_xlfn.IFS(B758=2023,O758*$U$4,B758=2024,O758*$U$5)</f>
        <v>18</v>
      </c>
    </row>
    <row r="759" spans="1:18">
      <c r="A759" s="2">
        <v>758</v>
      </c>
      <c r="B759" s="4">
        <f t="shared" si="56"/>
        <v>2023</v>
      </c>
      <c r="C759" s="4">
        <f t="shared" si="57"/>
        <v>5</v>
      </c>
      <c r="D759" s="4">
        <f t="shared" si="58"/>
        <v>12</v>
      </c>
      <c r="E759" s="4" t="str">
        <f t="shared" si="59"/>
        <v>Friday</v>
      </c>
      <c r="F759" s="4" t="str">
        <f t="shared" si="60"/>
        <v>May</v>
      </c>
      <c r="G759" s="3">
        <v>45058</v>
      </c>
      <c r="H759" s="4" t="s">
        <v>790</v>
      </c>
      <c r="I759" s="4" t="s">
        <v>19</v>
      </c>
      <c r="J759" s="4" t="str" cm="1">
        <f t="array" ref="J759">_xlfn.IFS(K759&lt;30,"Young Adult",K759&lt;50,"Adult",K759&gt;=50,"Senior")</f>
        <v>Senior</v>
      </c>
      <c r="K759" s="4">
        <v>64</v>
      </c>
      <c r="L759" s="4" t="s">
        <v>23</v>
      </c>
      <c r="M759" s="4">
        <v>4</v>
      </c>
      <c r="N759" s="16">
        <v>25</v>
      </c>
      <c r="O759" s="17">
        <f>M759*N759</f>
        <v>100</v>
      </c>
      <c r="P759" s="13">
        <f>$O759*$U$4</f>
        <v>1.5</v>
      </c>
      <c r="Q759" s="13">
        <f>$O759*$U$5</f>
        <v>2</v>
      </c>
      <c r="R759" s="13" cm="1">
        <f t="array" ref="R759">_xlfn.IFS(B759=2023,O759*$U$4,B759=2024,O759*$U$5)</f>
        <v>1.5</v>
      </c>
    </row>
    <row r="760" spans="1:18">
      <c r="A760" s="2">
        <v>759</v>
      </c>
      <c r="B760" s="4">
        <f t="shared" si="56"/>
        <v>2023</v>
      </c>
      <c r="C760" s="4">
        <f t="shared" si="57"/>
        <v>7</v>
      </c>
      <c r="D760" s="4">
        <f t="shared" si="58"/>
        <v>8</v>
      </c>
      <c r="E760" s="4" t="str">
        <f t="shared" si="59"/>
        <v>Saturday</v>
      </c>
      <c r="F760" s="4" t="str">
        <f t="shared" si="60"/>
        <v>July</v>
      </c>
      <c r="G760" s="3">
        <v>45115</v>
      </c>
      <c r="H760" s="4" t="s">
        <v>791</v>
      </c>
      <c r="I760" s="4" t="s">
        <v>19</v>
      </c>
      <c r="J760" s="4" t="str" cm="1">
        <f t="array" ref="J760">_xlfn.IFS(K760&lt;30,"Young Adult",K760&lt;50,"Adult",K760&gt;=50,"Senior")</f>
        <v>Adult</v>
      </c>
      <c r="K760" s="4">
        <v>49</v>
      </c>
      <c r="L760" s="4" t="s">
        <v>26</v>
      </c>
      <c r="M760" s="4">
        <v>2</v>
      </c>
      <c r="N760" s="16">
        <v>50</v>
      </c>
      <c r="O760" s="17">
        <f>M760*N760</f>
        <v>100</v>
      </c>
      <c r="P760" s="13">
        <f>$O760*$U$4</f>
        <v>1.5</v>
      </c>
      <c r="Q760" s="13">
        <f>$O760*$U$5</f>
        <v>2</v>
      </c>
      <c r="R760" s="13" cm="1">
        <f t="array" ref="R760">_xlfn.IFS(B760=2023,O760*$U$4,B760=2024,O760*$U$5)</f>
        <v>1.5</v>
      </c>
    </row>
    <row r="761" spans="1:18">
      <c r="A761" s="2">
        <v>760</v>
      </c>
      <c r="B761" s="4">
        <f t="shared" si="56"/>
        <v>2023</v>
      </c>
      <c r="C761" s="4">
        <f t="shared" si="57"/>
        <v>3</v>
      </c>
      <c r="D761" s="4">
        <f t="shared" si="58"/>
        <v>27</v>
      </c>
      <c r="E761" s="4" t="str">
        <f t="shared" si="59"/>
        <v>Monday</v>
      </c>
      <c r="F761" s="4" t="str">
        <f t="shared" si="60"/>
        <v>March</v>
      </c>
      <c r="G761" s="3">
        <v>45012</v>
      </c>
      <c r="H761" s="4" t="s">
        <v>792</v>
      </c>
      <c r="I761" s="4" t="s">
        <v>19</v>
      </c>
      <c r="J761" s="4" t="str" cm="1">
        <f t="array" ref="J761">_xlfn.IFS(K761&lt;30,"Young Adult",K761&lt;50,"Adult",K761&gt;=50,"Senior")</f>
        <v>Young Adult</v>
      </c>
      <c r="K761" s="4">
        <v>27</v>
      </c>
      <c r="L761" s="4" t="s">
        <v>20</v>
      </c>
      <c r="M761" s="4">
        <v>1</v>
      </c>
      <c r="N761" s="16">
        <v>500</v>
      </c>
      <c r="O761" s="17">
        <f>M761*N761</f>
        <v>500</v>
      </c>
      <c r="P761" s="13">
        <f>$O761*$U$4</f>
        <v>7.5</v>
      </c>
      <c r="Q761" s="13">
        <f>$O761*$U$5</f>
        <v>10</v>
      </c>
      <c r="R761" s="13" cm="1">
        <f t="array" ref="R761">_xlfn.IFS(B761=2023,O761*$U$4,B761=2024,O761*$U$5)</f>
        <v>7.5</v>
      </c>
    </row>
    <row r="762" spans="1:18">
      <c r="A762" s="2">
        <v>761</v>
      </c>
      <c r="B762" s="4">
        <f t="shared" si="56"/>
        <v>2023</v>
      </c>
      <c r="C762" s="4">
        <f t="shared" si="57"/>
        <v>11</v>
      </c>
      <c r="D762" s="4">
        <f t="shared" si="58"/>
        <v>7</v>
      </c>
      <c r="E762" s="4" t="str">
        <f t="shared" si="59"/>
        <v>Tuesday</v>
      </c>
      <c r="F762" s="4" t="str">
        <f t="shared" si="60"/>
        <v>November</v>
      </c>
      <c r="G762" s="3">
        <v>45237</v>
      </c>
      <c r="H762" s="4" t="s">
        <v>793</v>
      </c>
      <c r="I762" s="4" t="s">
        <v>22</v>
      </c>
      <c r="J762" s="4" t="str" cm="1">
        <f t="array" ref="J762">_xlfn.IFS(K762&lt;30,"Young Adult",K762&lt;50,"Adult",K762&gt;=50,"Senior")</f>
        <v>Adult</v>
      </c>
      <c r="K762" s="4">
        <v>33</v>
      </c>
      <c r="L762" s="4" t="s">
        <v>23</v>
      </c>
      <c r="M762" s="4">
        <v>1</v>
      </c>
      <c r="N762" s="16">
        <v>500</v>
      </c>
      <c r="O762" s="17">
        <f>M762*N762</f>
        <v>500</v>
      </c>
      <c r="P762" s="13">
        <f>$O762*$U$4</f>
        <v>7.5</v>
      </c>
      <c r="Q762" s="13">
        <f>$O762*$U$5</f>
        <v>10</v>
      </c>
      <c r="R762" s="13" cm="1">
        <f t="array" ref="R762">_xlfn.IFS(B762=2023,O762*$U$4,B762=2024,O762*$U$5)</f>
        <v>7.5</v>
      </c>
    </row>
    <row r="763" spans="1:18">
      <c r="A763" s="2">
        <v>762</v>
      </c>
      <c r="B763" s="4">
        <f t="shared" si="56"/>
        <v>2023</v>
      </c>
      <c r="C763" s="4">
        <f t="shared" si="57"/>
        <v>11</v>
      </c>
      <c r="D763" s="4">
        <f t="shared" si="58"/>
        <v>7</v>
      </c>
      <c r="E763" s="4" t="str">
        <f t="shared" si="59"/>
        <v>Tuesday</v>
      </c>
      <c r="F763" s="4" t="str">
        <f t="shared" si="60"/>
        <v>November</v>
      </c>
      <c r="G763" s="3">
        <v>45237</v>
      </c>
      <c r="H763" s="4" t="s">
        <v>794</v>
      </c>
      <c r="I763" s="4" t="s">
        <v>22</v>
      </c>
      <c r="J763" s="4" t="str" cm="1">
        <f t="array" ref="J763">_xlfn.IFS(K763&lt;30,"Young Adult",K763&lt;50,"Adult",K763&gt;=50,"Senior")</f>
        <v>Young Adult</v>
      </c>
      <c r="K763" s="4">
        <v>24</v>
      </c>
      <c r="L763" s="4" t="s">
        <v>26</v>
      </c>
      <c r="M763" s="4">
        <v>2</v>
      </c>
      <c r="N763" s="16">
        <v>25</v>
      </c>
      <c r="O763" s="17">
        <f>M763*N763</f>
        <v>50</v>
      </c>
      <c r="P763" s="13">
        <f>$O763*$U$4</f>
        <v>0.75</v>
      </c>
      <c r="Q763" s="13">
        <f>$O763*$U$5</f>
        <v>1</v>
      </c>
      <c r="R763" s="13" cm="1">
        <f t="array" ref="R763">_xlfn.IFS(B763=2023,O763*$U$4,B763=2024,O763*$U$5)</f>
        <v>0.75</v>
      </c>
    </row>
    <row r="764" spans="1:18">
      <c r="A764" s="2">
        <v>763</v>
      </c>
      <c r="B764" s="4">
        <f t="shared" si="56"/>
        <v>2023</v>
      </c>
      <c r="C764" s="4">
        <f t="shared" si="57"/>
        <v>2</v>
      </c>
      <c r="D764" s="4">
        <f t="shared" si="58"/>
        <v>28</v>
      </c>
      <c r="E764" s="4" t="str">
        <f t="shared" si="59"/>
        <v>Tuesday</v>
      </c>
      <c r="F764" s="4" t="str">
        <f t="shared" si="60"/>
        <v>February</v>
      </c>
      <c r="G764" s="3">
        <v>44985</v>
      </c>
      <c r="H764" s="4" t="s">
        <v>795</v>
      </c>
      <c r="I764" s="4" t="s">
        <v>19</v>
      </c>
      <c r="J764" s="4" t="str" cm="1">
        <f t="array" ref="J764">_xlfn.IFS(K764&lt;30,"Young Adult",K764&lt;50,"Adult",K764&gt;=50,"Senior")</f>
        <v>Adult</v>
      </c>
      <c r="K764" s="4">
        <v>34</v>
      </c>
      <c r="L764" s="4" t="s">
        <v>23</v>
      </c>
      <c r="M764" s="4">
        <v>2</v>
      </c>
      <c r="N764" s="16">
        <v>25</v>
      </c>
      <c r="O764" s="17">
        <f>M764*N764</f>
        <v>50</v>
      </c>
      <c r="P764" s="13">
        <f>$O764*$U$4</f>
        <v>0.75</v>
      </c>
      <c r="Q764" s="13">
        <f>$O764*$U$5</f>
        <v>1</v>
      </c>
      <c r="R764" s="13" cm="1">
        <f t="array" ref="R764">_xlfn.IFS(B764=2023,O764*$U$4,B764=2024,O764*$U$5)</f>
        <v>0.75</v>
      </c>
    </row>
    <row r="765" spans="1:18">
      <c r="A765" s="2">
        <v>764</v>
      </c>
      <c r="B765" s="4">
        <f t="shared" si="56"/>
        <v>2023</v>
      </c>
      <c r="C765" s="4">
        <f t="shared" si="57"/>
        <v>3</v>
      </c>
      <c r="D765" s="4">
        <f t="shared" si="58"/>
        <v>25</v>
      </c>
      <c r="E765" s="4" t="str">
        <f t="shared" si="59"/>
        <v>Saturday</v>
      </c>
      <c r="F765" s="4" t="str">
        <f t="shared" si="60"/>
        <v>March</v>
      </c>
      <c r="G765" s="3">
        <v>45010</v>
      </c>
      <c r="H765" s="4" t="s">
        <v>796</v>
      </c>
      <c r="I765" s="4" t="s">
        <v>22</v>
      </c>
      <c r="J765" s="4" t="str" cm="1">
        <f t="array" ref="J765">_xlfn.IFS(K765&lt;30,"Young Adult",K765&lt;50,"Adult",K765&gt;=50,"Senior")</f>
        <v>Adult</v>
      </c>
      <c r="K765" s="4">
        <v>40</v>
      </c>
      <c r="L765" s="4" t="s">
        <v>23</v>
      </c>
      <c r="M765" s="4">
        <v>1</v>
      </c>
      <c r="N765" s="16">
        <v>25</v>
      </c>
      <c r="O765" s="17">
        <f>M765*N765</f>
        <v>25</v>
      </c>
      <c r="P765" s="13">
        <f>$O765*$U$4</f>
        <v>0.375</v>
      </c>
      <c r="Q765" s="13">
        <f>$O765*$U$5</f>
        <v>0.5</v>
      </c>
      <c r="R765" s="13" cm="1">
        <f t="array" ref="R765">_xlfn.IFS(B765=2023,O765*$U$4,B765=2024,O765*$U$5)</f>
        <v>0.375</v>
      </c>
    </row>
    <row r="766" spans="1:18">
      <c r="A766" s="2">
        <v>765</v>
      </c>
      <c r="B766" s="4">
        <f t="shared" si="56"/>
        <v>2023</v>
      </c>
      <c r="C766" s="4">
        <f t="shared" si="57"/>
        <v>6</v>
      </c>
      <c r="D766" s="4">
        <f t="shared" si="58"/>
        <v>9</v>
      </c>
      <c r="E766" s="4" t="str">
        <f t="shared" si="59"/>
        <v>Friday</v>
      </c>
      <c r="F766" s="4" t="str">
        <f t="shared" si="60"/>
        <v>June</v>
      </c>
      <c r="G766" s="3">
        <v>45086</v>
      </c>
      <c r="H766" s="4" t="s">
        <v>797</v>
      </c>
      <c r="I766" s="4" t="s">
        <v>19</v>
      </c>
      <c r="J766" s="4" t="str" cm="1">
        <f t="array" ref="J766">_xlfn.IFS(K766&lt;30,"Young Adult",K766&lt;50,"Adult",K766&gt;=50,"Senior")</f>
        <v>Adult</v>
      </c>
      <c r="K766" s="4">
        <v>43</v>
      </c>
      <c r="L766" s="4" t="s">
        <v>23</v>
      </c>
      <c r="M766" s="4">
        <v>4</v>
      </c>
      <c r="N766" s="16">
        <v>50</v>
      </c>
      <c r="O766" s="17">
        <f>M766*N766</f>
        <v>200</v>
      </c>
      <c r="P766" s="13">
        <f>$O766*$U$4</f>
        <v>3</v>
      </c>
      <c r="Q766" s="13">
        <f>$O766*$U$5</f>
        <v>4</v>
      </c>
      <c r="R766" s="13" cm="1">
        <f t="array" ref="R766">_xlfn.IFS(B766=2023,O766*$U$4,B766=2024,O766*$U$5)</f>
        <v>3</v>
      </c>
    </row>
    <row r="767" spans="1:18">
      <c r="A767" s="2">
        <v>766</v>
      </c>
      <c r="B767" s="4">
        <f t="shared" si="56"/>
        <v>2023</v>
      </c>
      <c r="C767" s="4">
        <f t="shared" si="57"/>
        <v>2</v>
      </c>
      <c r="D767" s="4">
        <f t="shared" si="58"/>
        <v>25</v>
      </c>
      <c r="E767" s="4" t="str">
        <f t="shared" si="59"/>
        <v>Saturday</v>
      </c>
      <c r="F767" s="4" t="str">
        <f t="shared" si="60"/>
        <v>February</v>
      </c>
      <c r="G767" s="3">
        <v>44982</v>
      </c>
      <c r="H767" s="4" t="s">
        <v>798</v>
      </c>
      <c r="I767" s="4" t="s">
        <v>19</v>
      </c>
      <c r="J767" s="4" t="str" cm="1">
        <f t="array" ref="J767">_xlfn.IFS(K767&lt;30,"Young Adult",K767&lt;50,"Adult",K767&gt;=50,"Senior")</f>
        <v>Adult</v>
      </c>
      <c r="K767" s="4">
        <v>38</v>
      </c>
      <c r="L767" s="4" t="s">
        <v>26</v>
      </c>
      <c r="M767" s="4">
        <v>3</v>
      </c>
      <c r="N767" s="16">
        <v>300</v>
      </c>
      <c r="O767" s="17">
        <f>M767*N767</f>
        <v>900</v>
      </c>
      <c r="P767" s="13">
        <f>$O767*$U$4</f>
        <v>13.5</v>
      </c>
      <c r="Q767" s="13">
        <f>$O767*$U$5</f>
        <v>18</v>
      </c>
      <c r="R767" s="13" cm="1">
        <f t="array" ref="R767">_xlfn.IFS(B767=2023,O767*$U$4,B767=2024,O767*$U$5)</f>
        <v>13.5</v>
      </c>
    </row>
    <row r="768" spans="1:18">
      <c r="A768" s="2">
        <v>767</v>
      </c>
      <c r="B768" s="4">
        <f t="shared" si="56"/>
        <v>2023</v>
      </c>
      <c r="C768" s="4">
        <f t="shared" si="57"/>
        <v>10</v>
      </c>
      <c r="D768" s="4">
        <f t="shared" si="58"/>
        <v>24</v>
      </c>
      <c r="E768" s="4" t="str">
        <f t="shared" si="59"/>
        <v>Tuesday</v>
      </c>
      <c r="F768" s="4" t="str">
        <f t="shared" si="60"/>
        <v>October</v>
      </c>
      <c r="G768" s="3">
        <v>45223</v>
      </c>
      <c r="H768" s="4" t="s">
        <v>799</v>
      </c>
      <c r="I768" s="4" t="s">
        <v>19</v>
      </c>
      <c r="J768" s="4" t="str" cm="1">
        <f t="array" ref="J768">_xlfn.IFS(K768&lt;30,"Young Adult",K768&lt;50,"Adult",K768&gt;=50,"Senior")</f>
        <v>Adult</v>
      </c>
      <c r="K768" s="4">
        <v>39</v>
      </c>
      <c r="L768" s="4" t="s">
        <v>20</v>
      </c>
      <c r="M768" s="4">
        <v>3</v>
      </c>
      <c r="N768" s="16">
        <v>25</v>
      </c>
      <c r="O768" s="17">
        <f>M768*N768</f>
        <v>75</v>
      </c>
      <c r="P768" s="13">
        <f>$O768*$U$4</f>
        <v>1.125</v>
      </c>
      <c r="Q768" s="13">
        <f>$O768*$U$5</f>
        <v>1.5</v>
      </c>
      <c r="R768" s="13" cm="1">
        <f t="array" ref="R768">_xlfn.IFS(B768=2023,O768*$U$4,B768=2024,O768*$U$5)</f>
        <v>1.125</v>
      </c>
    </row>
    <row r="769" spans="1:18">
      <c r="A769" s="2">
        <v>768</v>
      </c>
      <c r="B769" s="4">
        <f t="shared" si="56"/>
        <v>2023</v>
      </c>
      <c r="C769" s="4">
        <f t="shared" si="57"/>
        <v>1</v>
      </c>
      <c r="D769" s="4">
        <f t="shared" si="58"/>
        <v>14</v>
      </c>
      <c r="E769" s="4" t="str">
        <f t="shared" si="59"/>
        <v>Saturday</v>
      </c>
      <c r="F769" s="4" t="str">
        <f t="shared" si="60"/>
        <v>January</v>
      </c>
      <c r="G769" s="3">
        <v>44940</v>
      </c>
      <c r="H769" s="4" t="s">
        <v>800</v>
      </c>
      <c r="I769" s="4" t="s">
        <v>22</v>
      </c>
      <c r="J769" s="4" t="str" cm="1">
        <f t="array" ref="J769">_xlfn.IFS(K769&lt;30,"Young Adult",K769&lt;50,"Adult",K769&gt;=50,"Senior")</f>
        <v>Young Adult</v>
      </c>
      <c r="K769" s="4">
        <v>24</v>
      </c>
      <c r="L769" s="4" t="s">
        <v>20</v>
      </c>
      <c r="M769" s="4">
        <v>3</v>
      </c>
      <c r="N769" s="16">
        <v>25</v>
      </c>
      <c r="O769" s="17">
        <f>M769*N769</f>
        <v>75</v>
      </c>
      <c r="P769" s="13">
        <f>$O769*$U$4</f>
        <v>1.125</v>
      </c>
      <c r="Q769" s="13">
        <f>$O769*$U$5</f>
        <v>1.5</v>
      </c>
      <c r="R769" s="13" cm="1">
        <f t="array" ref="R769">_xlfn.IFS(B769=2023,O769*$U$4,B769=2024,O769*$U$5)</f>
        <v>1.125</v>
      </c>
    </row>
    <row r="770" spans="1:18">
      <c r="A770" s="2">
        <v>769</v>
      </c>
      <c r="B770" s="4">
        <f t="shared" si="56"/>
        <v>2023</v>
      </c>
      <c r="C770" s="4">
        <f t="shared" si="57"/>
        <v>6</v>
      </c>
      <c r="D770" s="4">
        <f t="shared" si="58"/>
        <v>9</v>
      </c>
      <c r="E770" s="4" t="str">
        <f t="shared" si="59"/>
        <v>Friday</v>
      </c>
      <c r="F770" s="4" t="str">
        <f t="shared" si="60"/>
        <v>June</v>
      </c>
      <c r="G770" s="3">
        <v>45086</v>
      </c>
      <c r="H770" s="4" t="s">
        <v>801</v>
      </c>
      <c r="I770" s="4" t="s">
        <v>22</v>
      </c>
      <c r="J770" s="4" t="str" cm="1">
        <f t="array" ref="J770">_xlfn.IFS(K770&lt;30,"Young Adult",K770&lt;50,"Adult",K770&gt;=50,"Senior")</f>
        <v>Adult</v>
      </c>
      <c r="K770" s="4">
        <v>31</v>
      </c>
      <c r="L770" s="4" t="s">
        <v>26</v>
      </c>
      <c r="M770" s="4">
        <v>4</v>
      </c>
      <c r="N770" s="16">
        <v>30</v>
      </c>
      <c r="O770" s="17">
        <f>M770*N770</f>
        <v>120</v>
      </c>
      <c r="P770" s="13">
        <f>$O770*$U$4</f>
        <v>1.7999999999999998</v>
      </c>
      <c r="Q770" s="13">
        <f>$O770*$U$5</f>
        <v>2.4</v>
      </c>
      <c r="R770" s="13" cm="1">
        <f t="array" ref="R770">_xlfn.IFS(B770=2023,O770*$U$4,B770=2024,O770*$U$5)</f>
        <v>1.7999999999999998</v>
      </c>
    </row>
    <row r="771" spans="1:18">
      <c r="A771" s="2">
        <v>770</v>
      </c>
      <c r="B771" s="4">
        <f t="shared" ref="B771:B834" si="61">YEAR(G771)</f>
        <v>2023</v>
      </c>
      <c r="C771" s="4">
        <f t="shared" ref="C771:C834" si="62">MONTH(G771)</f>
        <v>10</v>
      </c>
      <c r="D771" s="4">
        <f t="shared" ref="D771:D834" si="63">DAY(G771)</f>
        <v>22</v>
      </c>
      <c r="E771" s="4" t="str">
        <f t="shared" ref="E771:E834" si="64">TEXT(G771,"dddd")</f>
        <v>Sunday</v>
      </c>
      <c r="F771" s="4" t="str">
        <f t="shared" ref="F771:F834" si="65">TEXT(G771,"mmmm")</f>
        <v>October</v>
      </c>
      <c r="G771" s="3">
        <v>45221</v>
      </c>
      <c r="H771" s="4" t="s">
        <v>802</v>
      </c>
      <c r="I771" s="4" t="s">
        <v>19</v>
      </c>
      <c r="J771" s="4" t="str" cm="1">
        <f t="array" ref="J771">_xlfn.IFS(K771&lt;30,"Young Adult",K771&lt;50,"Adult",K771&gt;=50,"Senior")</f>
        <v>Adult</v>
      </c>
      <c r="K771" s="4">
        <v>32</v>
      </c>
      <c r="L771" s="4" t="s">
        <v>23</v>
      </c>
      <c r="M771" s="4">
        <v>1</v>
      </c>
      <c r="N771" s="16">
        <v>50</v>
      </c>
      <c r="O771" s="17">
        <f>M771*N771</f>
        <v>50</v>
      </c>
      <c r="P771" s="13">
        <f>$O771*$U$4</f>
        <v>0.75</v>
      </c>
      <c r="Q771" s="13">
        <f>$O771*$U$5</f>
        <v>1</v>
      </c>
      <c r="R771" s="13" cm="1">
        <f t="array" ref="R771">_xlfn.IFS(B771=2023,O771*$U$4,B771=2024,O771*$U$5)</f>
        <v>0.75</v>
      </c>
    </row>
    <row r="772" spans="1:18">
      <c r="A772" s="2">
        <v>771</v>
      </c>
      <c r="B772" s="4">
        <f t="shared" si="61"/>
        <v>2023</v>
      </c>
      <c r="C772" s="4">
        <f t="shared" si="62"/>
        <v>12</v>
      </c>
      <c r="D772" s="4">
        <f t="shared" si="63"/>
        <v>13</v>
      </c>
      <c r="E772" s="4" t="str">
        <f t="shared" si="64"/>
        <v>Wednesday</v>
      </c>
      <c r="F772" s="4" t="str">
        <f t="shared" si="65"/>
        <v>December</v>
      </c>
      <c r="G772" s="3">
        <v>45273</v>
      </c>
      <c r="H772" s="4" t="s">
        <v>803</v>
      </c>
      <c r="I772" s="4" t="s">
        <v>19</v>
      </c>
      <c r="J772" s="4" t="str" cm="1">
        <f t="array" ref="J772">_xlfn.IFS(K772&lt;30,"Young Adult",K772&lt;50,"Adult",K772&gt;=50,"Senior")</f>
        <v>Young Adult</v>
      </c>
      <c r="K772" s="4">
        <v>24</v>
      </c>
      <c r="L772" s="4" t="s">
        <v>26</v>
      </c>
      <c r="M772" s="4">
        <v>2</v>
      </c>
      <c r="N772" s="16">
        <v>25</v>
      </c>
      <c r="O772" s="17">
        <f>M772*N772</f>
        <v>50</v>
      </c>
      <c r="P772" s="13">
        <f>$O772*$U$4</f>
        <v>0.75</v>
      </c>
      <c r="Q772" s="13">
        <f>$O772*$U$5</f>
        <v>1</v>
      </c>
      <c r="R772" s="13" cm="1">
        <f t="array" ref="R772">_xlfn.IFS(B772=2023,O772*$U$4,B772=2024,O772*$U$5)</f>
        <v>0.75</v>
      </c>
    </row>
    <row r="773" spans="1:18">
      <c r="A773" s="2">
        <v>772</v>
      </c>
      <c r="B773" s="4">
        <f t="shared" si="61"/>
        <v>2023</v>
      </c>
      <c r="C773" s="4">
        <f t="shared" si="62"/>
        <v>7</v>
      </c>
      <c r="D773" s="4">
        <f t="shared" si="63"/>
        <v>12</v>
      </c>
      <c r="E773" s="4" t="str">
        <f t="shared" si="64"/>
        <v>Wednesday</v>
      </c>
      <c r="F773" s="4" t="str">
        <f t="shared" si="65"/>
        <v>July</v>
      </c>
      <c r="G773" s="3">
        <v>45119</v>
      </c>
      <c r="H773" s="4" t="s">
        <v>804</v>
      </c>
      <c r="I773" s="4" t="s">
        <v>19</v>
      </c>
      <c r="J773" s="4" t="str" cm="1">
        <f t="array" ref="J773">_xlfn.IFS(K773&lt;30,"Young Adult",K773&lt;50,"Adult",K773&gt;=50,"Senior")</f>
        <v>Young Adult</v>
      </c>
      <c r="K773" s="4">
        <v>26</v>
      </c>
      <c r="L773" s="4" t="s">
        <v>26</v>
      </c>
      <c r="M773" s="4">
        <v>1</v>
      </c>
      <c r="N773" s="16">
        <v>30</v>
      </c>
      <c r="O773" s="17">
        <f>M773*N773</f>
        <v>30</v>
      </c>
      <c r="P773" s="13">
        <f>$O773*$U$4</f>
        <v>0.44999999999999996</v>
      </c>
      <c r="Q773" s="13">
        <f>$O773*$U$5</f>
        <v>0.6</v>
      </c>
      <c r="R773" s="13" cm="1">
        <f t="array" ref="R773">_xlfn.IFS(B773=2023,O773*$U$4,B773=2024,O773*$U$5)</f>
        <v>0.44999999999999996</v>
      </c>
    </row>
    <row r="774" spans="1:18">
      <c r="A774" s="2">
        <v>773</v>
      </c>
      <c r="B774" s="4">
        <f t="shared" si="61"/>
        <v>2023</v>
      </c>
      <c r="C774" s="4">
        <f t="shared" si="62"/>
        <v>7</v>
      </c>
      <c r="D774" s="4">
        <f t="shared" si="63"/>
        <v>23</v>
      </c>
      <c r="E774" s="4" t="str">
        <f t="shared" si="64"/>
        <v>Sunday</v>
      </c>
      <c r="F774" s="4" t="str">
        <f t="shared" si="65"/>
        <v>July</v>
      </c>
      <c r="G774" s="3">
        <v>45130</v>
      </c>
      <c r="H774" s="4" t="s">
        <v>805</v>
      </c>
      <c r="I774" s="4" t="s">
        <v>19</v>
      </c>
      <c r="J774" s="4" t="str" cm="1">
        <f t="array" ref="J774">_xlfn.IFS(K774&lt;30,"Young Adult",K774&lt;50,"Adult",K774&gt;=50,"Senior")</f>
        <v>Young Adult</v>
      </c>
      <c r="K774" s="4">
        <v>25</v>
      </c>
      <c r="L774" s="4" t="s">
        <v>26</v>
      </c>
      <c r="M774" s="4">
        <v>4</v>
      </c>
      <c r="N774" s="16">
        <v>500</v>
      </c>
      <c r="O774" s="17">
        <f>M774*N774</f>
        <v>2000</v>
      </c>
      <c r="P774" s="13">
        <f>$O774*$U$4</f>
        <v>30</v>
      </c>
      <c r="Q774" s="13">
        <f>$O774*$U$5</f>
        <v>40</v>
      </c>
      <c r="R774" s="13" cm="1">
        <f t="array" ref="R774">_xlfn.IFS(B774=2023,O774*$U$4,B774=2024,O774*$U$5)</f>
        <v>30</v>
      </c>
    </row>
    <row r="775" spans="1:18">
      <c r="A775" s="2">
        <v>774</v>
      </c>
      <c r="B775" s="4">
        <f t="shared" si="61"/>
        <v>2023</v>
      </c>
      <c r="C775" s="4">
        <f t="shared" si="62"/>
        <v>4</v>
      </c>
      <c r="D775" s="4">
        <f t="shared" si="63"/>
        <v>12</v>
      </c>
      <c r="E775" s="4" t="str">
        <f t="shared" si="64"/>
        <v>Wednesday</v>
      </c>
      <c r="F775" s="4" t="str">
        <f t="shared" si="65"/>
        <v>April</v>
      </c>
      <c r="G775" s="3">
        <v>45028</v>
      </c>
      <c r="H775" s="4" t="s">
        <v>806</v>
      </c>
      <c r="I775" s="4" t="s">
        <v>22</v>
      </c>
      <c r="J775" s="4" t="str" cm="1">
        <f t="array" ref="J775">_xlfn.IFS(K775&lt;30,"Young Adult",K775&lt;50,"Adult",K775&gt;=50,"Senior")</f>
        <v>Adult</v>
      </c>
      <c r="K775" s="4">
        <v>40</v>
      </c>
      <c r="L775" s="4" t="s">
        <v>23</v>
      </c>
      <c r="M775" s="4">
        <v>2</v>
      </c>
      <c r="N775" s="16">
        <v>25</v>
      </c>
      <c r="O775" s="17">
        <f>M775*N775</f>
        <v>50</v>
      </c>
      <c r="P775" s="13">
        <f>$O775*$U$4</f>
        <v>0.75</v>
      </c>
      <c r="Q775" s="13">
        <f>$O775*$U$5</f>
        <v>1</v>
      </c>
      <c r="R775" s="13" cm="1">
        <f t="array" ref="R775">_xlfn.IFS(B775=2023,O775*$U$4,B775=2024,O775*$U$5)</f>
        <v>0.75</v>
      </c>
    </row>
    <row r="776" spans="1:18">
      <c r="A776" s="2">
        <v>775</v>
      </c>
      <c r="B776" s="4">
        <f t="shared" si="61"/>
        <v>2023</v>
      </c>
      <c r="C776" s="4">
        <f t="shared" si="62"/>
        <v>2</v>
      </c>
      <c r="D776" s="4">
        <f t="shared" si="63"/>
        <v>8</v>
      </c>
      <c r="E776" s="4" t="str">
        <f t="shared" si="64"/>
        <v>Wednesday</v>
      </c>
      <c r="F776" s="4" t="str">
        <f t="shared" si="65"/>
        <v>February</v>
      </c>
      <c r="G776" s="3">
        <v>44965</v>
      </c>
      <c r="H776" s="4" t="s">
        <v>807</v>
      </c>
      <c r="I776" s="4" t="s">
        <v>22</v>
      </c>
      <c r="J776" s="4" t="str" cm="1">
        <f t="array" ref="J776">_xlfn.IFS(K776&lt;30,"Young Adult",K776&lt;50,"Adult",K776&gt;=50,"Senior")</f>
        <v>Adult</v>
      </c>
      <c r="K776" s="4">
        <v>46</v>
      </c>
      <c r="L776" s="4" t="s">
        <v>26</v>
      </c>
      <c r="M776" s="4">
        <v>4</v>
      </c>
      <c r="N776" s="16">
        <v>25</v>
      </c>
      <c r="O776" s="17">
        <f>M776*N776</f>
        <v>100</v>
      </c>
      <c r="P776" s="13">
        <f>$O776*$U$4</f>
        <v>1.5</v>
      </c>
      <c r="Q776" s="13">
        <f>$O776*$U$5</f>
        <v>2</v>
      </c>
      <c r="R776" s="13" cm="1">
        <f t="array" ref="R776">_xlfn.IFS(B776=2023,O776*$U$4,B776=2024,O776*$U$5)</f>
        <v>1.5</v>
      </c>
    </row>
    <row r="777" spans="1:18">
      <c r="A777" s="2">
        <v>776</v>
      </c>
      <c r="B777" s="4">
        <f t="shared" si="61"/>
        <v>2023</v>
      </c>
      <c r="C777" s="4">
        <f t="shared" si="62"/>
        <v>10</v>
      </c>
      <c r="D777" s="4">
        <f t="shared" si="63"/>
        <v>31</v>
      </c>
      <c r="E777" s="4" t="str">
        <f t="shared" si="64"/>
        <v>Tuesday</v>
      </c>
      <c r="F777" s="4" t="str">
        <f t="shared" si="65"/>
        <v>October</v>
      </c>
      <c r="G777" s="3">
        <v>45230</v>
      </c>
      <c r="H777" s="4" t="s">
        <v>808</v>
      </c>
      <c r="I777" s="4" t="s">
        <v>19</v>
      </c>
      <c r="J777" s="4" t="str" cm="1">
        <f t="array" ref="J777">_xlfn.IFS(K777&lt;30,"Young Adult",K777&lt;50,"Adult",K777&gt;=50,"Senior")</f>
        <v>Adult</v>
      </c>
      <c r="K777" s="4">
        <v>35</v>
      </c>
      <c r="L777" s="4" t="s">
        <v>23</v>
      </c>
      <c r="M777" s="4">
        <v>3</v>
      </c>
      <c r="N777" s="16">
        <v>30</v>
      </c>
      <c r="O777" s="17">
        <f>M777*N777</f>
        <v>90</v>
      </c>
      <c r="P777" s="13">
        <f>$O777*$U$4</f>
        <v>1.3499999999999999</v>
      </c>
      <c r="Q777" s="13">
        <f>$O777*$U$5</f>
        <v>1.8</v>
      </c>
      <c r="R777" s="13" cm="1">
        <f t="array" ref="R777">_xlfn.IFS(B777=2023,O777*$U$4,B777=2024,O777*$U$5)</f>
        <v>1.3499999999999999</v>
      </c>
    </row>
    <row r="778" spans="1:18">
      <c r="A778" s="2">
        <v>777</v>
      </c>
      <c r="B778" s="4">
        <f t="shared" si="61"/>
        <v>2023</v>
      </c>
      <c r="C778" s="4">
        <f t="shared" si="62"/>
        <v>12</v>
      </c>
      <c r="D778" s="4">
        <f t="shared" si="63"/>
        <v>20</v>
      </c>
      <c r="E778" s="4" t="str">
        <f t="shared" si="64"/>
        <v>Wednesday</v>
      </c>
      <c r="F778" s="4" t="str">
        <f t="shared" si="65"/>
        <v>December</v>
      </c>
      <c r="G778" s="3">
        <v>45280</v>
      </c>
      <c r="H778" s="4" t="s">
        <v>809</v>
      </c>
      <c r="I778" s="4" t="s">
        <v>19</v>
      </c>
      <c r="J778" s="4" t="str" cm="1">
        <f t="array" ref="J778">_xlfn.IFS(K778&lt;30,"Young Adult",K778&lt;50,"Adult",K778&gt;=50,"Senior")</f>
        <v>Adult</v>
      </c>
      <c r="K778" s="4">
        <v>48</v>
      </c>
      <c r="L778" s="4" t="s">
        <v>26</v>
      </c>
      <c r="M778" s="4">
        <v>3</v>
      </c>
      <c r="N778" s="16">
        <v>50</v>
      </c>
      <c r="O778" s="17">
        <f>M778*N778</f>
        <v>150</v>
      </c>
      <c r="P778" s="13">
        <f>$O778*$U$4</f>
        <v>2.25</v>
      </c>
      <c r="Q778" s="13">
        <f>$O778*$U$5</f>
        <v>3</v>
      </c>
      <c r="R778" s="13" cm="1">
        <f t="array" ref="R778">_xlfn.IFS(B778=2023,O778*$U$4,B778=2024,O778*$U$5)</f>
        <v>2.25</v>
      </c>
    </row>
    <row r="779" spans="1:18">
      <c r="A779" s="2">
        <v>778</v>
      </c>
      <c r="B779" s="4">
        <f t="shared" si="61"/>
        <v>2023</v>
      </c>
      <c r="C779" s="4">
        <f t="shared" si="62"/>
        <v>11</v>
      </c>
      <c r="D779" s="4">
        <f t="shared" si="63"/>
        <v>18</v>
      </c>
      <c r="E779" s="4" t="str">
        <f t="shared" si="64"/>
        <v>Saturday</v>
      </c>
      <c r="F779" s="4" t="str">
        <f t="shared" si="65"/>
        <v>November</v>
      </c>
      <c r="G779" s="3">
        <v>45248</v>
      </c>
      <c r="H779" s="4" t="s">
        <v>810</v>
      </c>
      <c r="I779" s="4" t="s">
        <v>22</v>
      </c>
      <c r="J779" s="4" t="str" cm="1">
        <f t="array" ref="J779">_xlfn.IFS(K779&lt;30,"Young Adult",K779&lt;50,"Adult",K779&gt;=50,"Senior")</f>
        <v>Adult</v>
      </c>
      <c r="K779" s="4">
        <v>47</v>
      </c>
      <c r="L779" s="4" t="s">
        <v>20</v>
      </c>
      <c r="M779" s="4">
        <v>4</v>
      </c>
      <c r="N779" s="16">
        <v>25</v>
      </c>
      <c r="O779" s="17">
        <f>M779*N779</f>
        <v>100</v>
      </c>
      <c r="P779" s="13">
        <f>$O779*$U$4</f>
        <v>1.5</v>
      </c>
      <c r="Q779" s="13">
        <f>$O779*$U$5</f>
        <v>2</v>
      </c>
      <c r="R779" s="13" cm="1">
        <f t="array" ref="R779">_xlfn.IFS(B779=2023,O779*$U$4,B779=2024,O779*$U$5)</f>
        <v>1.5</v>
      </c>
    </row>
    <row r="780" spans="1:18">
      <c r="A780" s="2">
        <v>779</v>
      </c>
      <c r="B780" s="4">
        <f t="shared" si="61"/>
        <v>2023</v>
      </c>
      <c r="C780" s="4">
        <f t="shared" si="62"/>
        <v>5</v>
      </c>
      <c r="D780" s="4">
        <f t="shared" si="63"/>
        <v>5</v>
      </c>
      <c r="E780" s="4" t="str">
        <f t="shared" si="64"/>
        <v>Friday</v>
      </c>
      <c r="F780" s="4" t="str">
        <f t="shared" si="65"/>
        <v>May</v>
      </c>
      <c r="G780" s="3">
        <v>45051</v>
      </c>
      <c r="H780" s="4" t="s">
        <v>811</v>
      </c>
      <c r="I780" s="4" t="s">
        <v>22</v>
      </c>
      <c r="J780" s="4" t="str" cm="1">
        <f t="array" ref="J780">_xlfn.IFS(K780&lt;30,"Young Adult",K780&lt;50,"Adult",K780&gt;=50,"Senior")</f>
        <v>Senior</v>
      </c>
      <c r="K780" s="4">
        <v>56</v>
      </c>
      <c r="L780" s="4" t="s">
        <v>26</v>
      </c>
      <c r="M780" s="4">
        <v>2</v>
      </c>
      <c r="N780" s="16">
        <v>500</v>
      </c>
      <c r="O780" s="17">
        <f>M780*N780</f>
        <v>1000</v>
      </c>
      <c r="P780" s="13">
        <f>$O780*$U$4</f>
        <v>15</v>
      </c>
      <c r="Q780" s="13">
        <f>$O780*$U$5</f>
        <v>20</v>
      </c>
      <c r="R780" s="13" cm="1">
        <f t="array" ref="R780">_xlfn.IFS(B780=2023,O780*$U$4,B780=2024,O780*$U$5)</f>
        <v>15</v>
      </c>
    </row>
    <row r="781" spans="1:18">
      <c r="A781" s="2">
        <v>780</v>
      </c>
      <c r="B781" s="4">
        <f t="shared" si="61"/>
        <v>2023</v>
      </c>
      <c r="C781" s="4">
        <f t="shared" si="62"/>
        <v>2</v>
      </c>
      <c r="D781" s="4">
        <f t="shared" si="63"/>
        <v>22</v>
      </c>
      <c r="E781" s="4" t="str">
        <f t="shared" si="64"/>
        <v>Wednesday</v>
      </c>
      <c r="F781" s="4" t="str">
        <f t="shared" si="65"/>
        <v>February</v>
      </c>
      <c r="G781" s="3">
        <v>44979</v>
      </c>
      <c r="H781" s="4" t="s">
        <v>812</v>
      </c>
      <c r="I781" s="4" t="s">
        <v>19</v>
      </c>
      <c r="J781" s="4" t="str" cm="1">
        <f t="array" ref="J781">_xlfn.IFS(K781&lt;30,"Young Adult",K781&lt;50,"Adult",K781&gt;=50,"Senior")</f>
        <v>Senior</v>
      </c>
      <c r="K781" s="4">
        <v>52</v>
      </c>
      <c r="L781" s="4" t="s">
        <v>26</v>
      </c>
      <c r="M781" s="4">
        <v>2</v>
      </c>
      <c r="N781" s="16">
        <v>25</v>
      </c>
      <c r="O781" s="17">
        <f>M781*N781</f>
        <v>50</v>
      </c>
      <c r="P781" s="13">
        <f>$O781*$U$4</f>
        <v>0.75</v>
      </c>
      <c r="Q781" s="13">
        <f>$O781*$U$5</f>
        <v>1</v>
      </c>
      <c r="R781" s="13" cm="1">
        <f t="array" ref="R781">_xlfn.IFS(B781=2023,O781*$U$4,B781=2024,O781*$U$5)</f>
        <v>0.75</v>
      </c>
    </row>
    <row r="782" spans="1:18">
      <c r="A782" s="2">
        <v>781</v>
      </c>
      <c r="B782" s="4">
        <f t="shared" si="61"/>
        <v>2023</v>
      </c>
      <c r="C782" s="4">
        <f t="shared" si="62"/>
        <v>12</v>
      </c>
      <c r="D782" s="4">
        <f t="shared" si="63"/>
        <v>23</v>
      </c>
      <c r="E782" s="4" t="str">
        <f t="shared" si="64"/>
        <v>Saturday</v>
      </c>
      <c r="F782" s="4" t="str">
        <f t="shared" si="65"/>
        <v>December</v>
      </c>
      <c r="G782" s="3">
        <v>45283</v>
      </c>
      <c r="H782" s="4" t="s">
        <v>813</v>
      </c>
      <c r="I782" s="4" t="s">
        <v>19</v>
      </c>
      <c r="J782" s="4" t="str" cm="1">
        <f t="array" ref="J782">_xlfn.IFS(K782&lt;30,"Young Adult",K782&lt;50,"Adult",K782&gt;=50,"Senior")</f>
        <v>Adult</v>
      </c>
      <c r="K782" s="4">
        <v>35</v>
      </c>
      <c r="L782" s="4" t="s">
        <v>20</v>
      </c>
      <c r="M782" s="4">
        <v>1</v>
      </c>
      <c r="N782" s="16">
        <v>500</v>
      </c>
      <c r="O782" s="17">
        <f>M782*N782</f>
        <v>500</v>
      </c>
      <c r="P782" s="13">
        <f>$O782*$U$4</f>
        <v>7.5</v>
      </c>
      <c r="Q782" s="13">
        <f>$O782*$U$5</f>
        <v>10</v>
      </c>
      <c r="R782" s="13" cm="1">
        <f t="array" ref="R782">_xlfn.IFS(B782=2023,O782*$U$4,B782=2024,O782*$U$5)</f>
        <v>7.5</v>
      </c>
    </row>
    <row r="783" spans="1:18">
      <c r="A783" s="2">
        <v>782</v>
      </c>
      <c r="B783" s="4">
        <f t="shared" si="61"/>
        <v>2023</v>
      </c>
      <c r="C783" s="4">
        <f t="shared" si="62"/>
        <v>6</v>
      </c>
      <c r="D783" s="4">
        <f t="shared" si="63"/>
        <v>4</v>
      </c>
      <c r="E783" s="4" t="str">
        <f t="shared" si="64"/>
        <v>Sunday</v>
      </c>
      <c r="F783" s="4" t="str">
        <f t="shared" si="65"/>
        <v>June</v>
      </c>
      <c r="G783" s="3">
        <v>45081</v>
      </c>
      <c r="H783" s="4" t="s">
        <v>814</v>
      </c>
      <c r="I783" s="4" t="s">
        <v>19</v>
      </c>
      <c r="J783" s="4" t="str" cm="1">
        <f t="array" ref="J783">_xlfn.IFS(K783&lt;30,"Young Adult",K783&lt;50,"Adult",K783&gt;=50,"Senior")</f>
        <v>Senior</v>
      </c>
      <c r="K783" s="4">
        <v>59</v>
      </c>
      <c r="L783" s="4" t="s">
        <v>23</v>
      </c>
      <c r="M783" s="4">
        <v>3</v>
      </c>
      <c r="N783" s="16">
        <v>300</v>
      </c>
      <c r="O783" s="17">
        <f>M783*N783</f>
        <v>900</v>
      </c>
      <c r="P783" s="13">
        <f>$O783*$U$4</f>
        <v>13.5</v>
      </c>
      <c r="Q783" s="13">
        <f>$O783*$U$5</f>
        <v>18</v>
      </c>
      <c r="R783" s="13" cm="1">
        <f t="array" ref="R783">_xlfn.IFS(B783=2023,O783*$U$4,B783=2024,O783*$U$5)</f>
        <v>13.5</v>
      </c>
    </row>
    <row r="784" spans="1:18">
      <c r="A784" s="2">
        <v>783</v>
      </c>
      <c r="B784" s="4">
        <f t="shared" si="61"/>
        <v>2023</v>
      </c>
      <c r="C784" s="4">
        <f t="shared" si="62"/>
        <v>12</v>
      </c>
      <c r="D784" s="4">
        <f t="shared" si="63"/>
        <v>17</v>
      </c>
      <c r="E784" s="4" t="str">
        <f t="shared" si="64"/>
        <v>Sunday</v>
      </c>
      <c r="F784" s="4" t="str">
        <f t="shared" si="65"/>
        <v>December</v>
      </c>
      <c r="G784" s="3">
        <v>45277</v>
      </c>
      <c r="H784" s="4" t="s">
        <v>815</v>
      </c>
      <c r="I784" s="4" t="s">
        <v>22</v>
      </c>
      <c r="J784" s="4" t="str" cm="1">
        <f t="array" ref="J784">_xlfn.IFS(K784&lt;30,"Young Adult",K784&lt;50,"Adult",K784&gt;=50,"Senior")</f>
        <v>Senior</v>
      </c>
      <c r="K784" s="4">
        <v>56</v>
      </c>
      <c r="L784" s="4" t="s">
        <v>23</v>
      </c>
      <c r="M784" s="4">
        <v>1</v>
      </c>
      <c r="N784" s="16">
        <v>300</v>
      </c>
      <c r="O784" s="17">
        <f>M784*N784</f>
        <v>300</v>
      </c>
      <c r="P784" s="13">
        <f>$O784*$U$4</f>
        <v>4.5</v>
      </c>
      <c r="Q784" s="13">
        <f>$O784*$U$5</f>
        <v>6</v>
      </c>
      <c r="R784" s="13" cm="1">
        <f t="array" ref="R784">_xlfn.IFS(B784=2023,O784*$U$4,B784=2024,O784*$U$5)</f>
        <v>4.5</v>
      </c>
    </row>
    <row r="785" spans="1:18">
      <c r="A785" s="2">
        <v>784</v>
      </c>
      <c r="B785" s="4">
        <f t="shared" si="61"/>
        <v>2023</v>
      </c>
      <c r="C785" s="4">
        <f t="shared" si="62"/>
        <v>11</v>
      </c>
      <c r="D785" s="4">
        <f t="shared" si="63"/>
        <v>4</v>
      </c>
      <c r="E785" s="4" t="str">
        <f t="shared" si="64"/>
        <v>Saturday</v>
      </c>
      <c r="F785" s="4" t="str">
        <f t="shared" si="65"/>
        <v>November</v>
      </c>
      <c r="G785" s="3">
        <v>45234</v>
      </c>
      <c r="H785" s="4" t="s">
        <v>816</v>
      </c>
      <c r="I785" s="4" t="s">
        <v>22</v>
      </c>
      <c r="J785" s="4" t="str" cm="1">
        <f t="array" ref="J785">_xlfn.IFS(K785&lt;30,"Young Adult",K785&lt;50,"Adult",K785&gt;=50,"Senior")</f>
        <v>Adult</v>
      </c>
      <c r="K785" s="4">
        <v>34</v>
      </c>
      <c r="L785" s="4" t="s">
        <v>26</v>
      </c>
      <c r="M785" s="4">
        <v>1</v>
      </c>
      <c r="N785" s="16">
        <v>500</v>
      </c>
      <c r="O785" s="17">
        <f>M785*N785</f>
        <v>500</v>
      </c>
      <c r="P785" s="13">
        <f>$O785*$U$4</f>
        <v>7.5</v>
      </c>
      <c r="Q785" s="13">
        <f>$O785*$U$5</f>
        <v>10</v>
      </c>
      <c r="R785" s="13" cm="1">
        <f t="array" ref="R785">_xlfn.IFS(B785=2023,O785*$U$4,B785=2024,O785*$U$5)</f>
        <v>7.5</v>
      </c>
    </row>
    <row r="786" spans="1:18">
      <c r="A786" s="2">
        <v>785</v>
      </c>
      <c r="B786" s="4">
        <f t="shared" si="61"/>
        <v>2023</v>
      </c>
      <c r="C786" s="4">
        <f t="shared" si="62"/>
        <v>3</v>
      </c>
      <c r="D786" s="4">
        <f t="shared" si="63"/>
        <v>3</v>
      </c>
      <c r="E786" s="4" t="str">
        <f t="shared" si="64"/>
        <v>Friday</v>
      </c>
      <c r="F786" s="4" t="str">
        <f t="shared" si="65"/>
        <v>March</v>
      </c>
      <c r="G786" s="3">
        <v>44988</v>
      </c>
      <c r="H786" s="4" t="s">
        <v>817</v>
      </c>
      <c r="I786" s="4" t="s">
        <v>22</v>
      </c>
      <c r="J786" s="4" t="str" cm="1">
        <f t="array" ref="J786">_xlfn.IFS(K786&lt;30,"Young Adult",K786&lt;50,"Adult",K786&gt;=50,"Senior")</f>
        <v>Adult</v>
      </c>
      <c r="K786" s="4">
        <v>31</v>
      </c>
      <c r="L786" s="4" t="s">
        <v>20</v>
      </c>
      <c r="M786" s="4">
        <v>4</v>
      </c>
      <c r="N786" s="16">
        <v>50</v>
      </c>
      <c r="O786" s="17">
        <f>M786*N786</f>
        <v>200</v>
      </c>
      <c r="P786" s="13">
        <f>$O786*$U$4</f>
        <v>3</v>
      </c>
      <c r="Q786" s="13">
        <f>$O786*$U$5</f>
        <v>4</v>
      </c>
      <c r="R786" s="13" cm="1">
        <f t="array" ref="R786">_xlfn.IFS(B786=2023,O786*$U$4,B786=2024,O786*$U$5)</f>
        <v>3</v>
      </c>
    </row>
    <row r="787" spans="1:18">
      <c r="A787" s="2">
        <v>786</v>
      </c>
      <c r="B787" s="4">
        <f t="shared" si="61"/>
        <v>2023</v>
      </c>
      <c r="C787" s="4">
        <f t="shared" si="62"/>
        <v>10</v>
      </c>
      <c r="D787" s="4">
        <f t="shared" si="63"/>
        <v>17</v>
      </c>
      <c r="E787" s="4" t="str">
        <f t="shared" si="64"/>
        <v>Tuesday</v>
      </c>
      <c r="F787" s="4" t="str">
        <f t="shared" si="65"/>
        <v>October</v>
      </c>
      <c r="G787" s="3">
        <v>45216</v>
      </c>
      <c r="H787" s="4" t="s">
        <v>818</v>
      </c>
      <c r="I787" s="4" t="s">
        <v>19</v>
      </c>
      <c r="J787" s="4" t="str" cm="1">
        <f t="array" ref="J787">_xlfn.IFS(K787&lt;30,"Young Adult",K787&lt;50,"Adult",K787&gt;=50,"Senior")</f>
        <v>Adult</v>
      </c>
      <c r="K787" s="4">
        <v>48</v>
      </c>
      <c r="L787" s="4" t="s">
        <v>23</v>
      </c>
      <c r="M787" s="4">
        <v>4</v>
      </c>
      <c r="N787" s="16">
        <v>25</v>
      </c>
      <c r="O787" s="17">
        <f>M787*N787</f>
        <v>100</v>
      </c>
      <c r="P787" s="13">
        <f>$O787*$U$4</f>
        <v>1.5</v>
      </c>
      <c r="Q787" s="13">
        <f>$O787*$U$5</f>
        <v>2</v>
      </c>
      <c r="R787" s="13" cm="1">
        <f t="array" ref="R787">_xlfn.IFS(B787=2023,O787*$U$4,B787=2024,O787*$U$5)</f>
        <v>1.5</v>
      </c>
    </row>
    <row r="788" spans="1:18">
      <c r="A788" s="2">
        <v>787</v>
      </c>
      <c r="B788" s="4">
        <f t="shared" si="61"/>
        <v>2023</v>
      </c>
      <c r="C788" s="4">
        <f t="shared" si="62"/>
        <v>1</v>
      </c>
      <c r="D788" s="4">
        <f t="shared" si="63"/>
        <v>22</v>
      </c>
      <c r="E788" s="4" t="str">
        <f t="shared" si="64"/>
        <v>Sunday</v>
      </c>
      <c r="F788" s="4" t="str">
        <f t="shared" si="65"/>
        <v>January</v>
      </c>
      <c r="G788" s="3">
        <v>44948</v>
      </c>
      <c r="H788" s="4" t="s">
        <v>819</v>
      </c>
      <c r="I788" s="4" t="s">
        <v>19</v>
      </c>
      <c r="J788" s="4" t="str" cm="1">
        <f t="array" ref="J788">_xlfn.IFS(K788&lt;30,"Young Adult",K788&lt;50,"Adult",K788&gt;=50,"Senior")</f>
        <v>Adult</v>
      </c>
      <c r="K788" s="4">
        <v>41</v>
      </c>
      <c r="L788" s="4" t="s">
        <v>26</v>
      </c>
      <c r="M788" s="4">
        <v>1</v>
      </c>
      <c r="N788" s="16">
        <v>25</v>
      </c>
      <c r="O788" s="17">
        <f>M788*N788</f>
        <v>25</v>
      </c>
      <c r="P788" s="13">
        <f>$O788*$U$4</f>
        <v>0.375</v>
      </c>
      <c r="Q788" s="13">
        <f>$O788*$U$5</f>
        <v>0.5</v>
      </c>
      <c r="R788" s="13" cm="1">
        <f t="array" ref="R788">_xlfn.IFS(B788=2023,O788*$U$4,B788=2024,O788*$U$5)</f>
        <v>0.375</v>
      </c>
    </row>
    <row r="789" spans="1:18">
      <c r="A789" s="2">
        <v>788</v>
      </c>
      <c r="B789" s="4">
        <f t="shared" si="61"/>
        <v>2023</v>
      </c>
      <c r="C789" s="4">
        <f t="shared" si="62"/>
        <v>6</v>
      </c>
      <c r="D789" s="4">
        <f t="shared" si="63"/>
        <v>27</v>
      </c>
      <c r="E789" s="4" t="str">
        <f t="shared" si="64"/>
        <v>Tuesday</v>
      </c>
      <c r="F789" s="4" t="str">
        <f t="shared" si="65"/>
        <v>June</v>
      </c>
      <c r="G789" s="3">
        <v>45104</v>
      </c>
      <c r="H789" s="4" t="s">
        <v>820</v>
      </c>
      <c r="I789" s="4" t="s">
        <v>22</v>
      </c>
      <c r="J789" s="4" t="str" cm="1">
        <f t="array" ref="J789">_xlfn.IFS(K789&lt;30,"Young Adult",K789&lt;50,"Adult",K789&gt;=50,"Senior")</f>
        <v>Senior</v>
      </c>
      <c r="K789" s="4">
        <v>52</v>
      </c>
      <c r="L789" s="4" t="s">
        <v>20</v>
      </c>
      <c r="M789" s="4">
        <v>3</v>
      </c>
      <c r="N789" s="16">
        <v>300</v>
      </c>
      <c r="O789" s="17">
        <f>M789*N789</f>
        <v>900</v>
      </c>
      <c r="P789" s="13">
        <f>$O789*$U$4</f>
        <v>13.5</v>
      </c>
      <c r="Q789" s="13">
        <f>$O789*$U$5</f>
        <v>18</v>
      </c>
      <c r="R789" s="13" cm="1">
        <f t="array" ref="R789">_xlfn.IFS(B789=2023,O789*$U$4,B789=2024,O789*$U$5)</f>
        <v>13.5</v>
      </c>
    </row>
    <row r="790" spans="1:18">
      <c r="A790" s="2">
        <v>789</v>
      </c>
      <c r="B790" s="4">
        <f t="shared" si="61"/>
        <v>2023</v>
      </c>
      <c r="C790" s="4">
        <f t="shared" si="62"/>
        <v>9</v>
      </c>
      <c r="D790" s="4">
        <f t="shared" si="63"/>
        <v>30</v>
      </c>
      <c r="E790" s="4" t="str">
        <f t="shared" si="64"/>
        <v>Saturday</v>
      </c>
      <c r="F790" s="4" t="str">
        <f t="shared" si="65"/>
        <v>September</v>
      </c>
      <c r="G790" s="3">
        <v>45199</v>
      </c>
      <c r="H790" s="4" t="s">
        <v>821</v>
      </c>
      <c r="I790" s="4" t="s">
        <v>22</v>
      </c>
      <c r="J790" s="4" t="str" cm="1">
        <f t="array" ref="J790">_xlfn.IFS(K790&lt;30,"Young Adult",K790&lt;50,"Adult",K790&gt;=50,"Senior")</f>
        <v>Senior</v>
      </c>
      <c r="K790" s="4">
        <v>61</v>
      </c>
      <c r="L790" s="4" t="s">
        <v>23</v>
      </c>
      <c r="M790" s="4">
        <v>4</v>
      </c>
      <c r="N790" s="16">
        <v>500</v>
      </c>
      <c r="O790" s="17">
        <f>M790*N790</f>
        <v>2000</v>
      </c>
      <c r="P790" s="13">
        <f>$O790*$U$4</f>
        <v>30</v>
      </c>
      <c r="Q790" s="13">
        <f>$O790*$U$5</f>
        <v>40</v>
      </c>
      <c r="R790" s="13" cm="1">
        <f t="array" ref="R790">_xlfn.IFS(B790=2023,O790*$U$4,B790=2024,O790*$U$5)</f>
        <v>30</v>
      </c>
    </row>
    <row r="791" spans="1:18">
      <c r="A791" s="2">
        <v>790</v>
      </c>
      <c r="B791" s="4">
        <f t="shared" si="61"/>
        <v>2023</v>
      </c>
      <c r="C791" s="4">
        <f t="shared" si="62"/>
        <v>8</v>
      </c>
      <c r="D791" s="4">
        <f t="shared" si="63"/>
        <v>8</v>
      </c>
      <c r="E791" s="4" t="str">
        <f t="shared" si="64"/>
        <v>Tuesday</v>
      </c>
      <c r="F791" s="4" t="str">
        <f t="shared" si="65"/>
        <v>August</v>
      </c>
      <c r="G791" s="3">
        <v>45146</v>
      </c>
      <c r="H791" s="4" t="s">
        <v>822</v>
      </c>
      <c r="I791" s="4" t="s">
        <v>19</v>
      </c>
      <c r="J791" s="4" t="str" cm="1">
        <f t="array" ref="J791">_xlfn.IFS(K791&lt;30,"Young Adult",K791&lt;50,"Adult",K791&gt;=50,"Senior")</f>
        <v>Senior</v>
      </c>
      <c r="K791" s="4">
        <v>62</v>
      </c>
      <c r="L791" s="4" t="s">
        <v>23</v>
      </c>
      <c r="M791" s="4">
        <v>1</v>
      </c>
      <c r="N791" s="16">
        <v>25</v>
      </c>
      <c r="O791" s="17">
        <f>M791*N791</f>
        <v>25</v>
      </c>
      <c r="P791" s="13">
        <f>$O791*$U$4</f>
        <v>0.375</v>
      </c>
      <c r="Q791" s="13">
        <f>$O791*$U$5</f>
        <v>0.5</v>
      </c>
      <c r="R791" s="13" cm="1">
        <f t="array" ref="R791">_xlfn.IFS(B791=2023,O791*$U$4,B791=2024,O791*$U$5)</f>
        <v>0.375</v>
      </c>
    </row>
    <row r="792" spans="1:18">
      <c r="A792" s="2">
        <v>791</v>
      </c>
      <c r="B792" s="4">
        <f t="shared" si="61"/>
        <v>2023</v>
      </c>
      <c r="C792" s="4">
        <f t="shared" si="62"/>
        <v>12</v>
      </c>
      <c r="D792" s="4">
        <f t="shared" si="63"/>
        <v>5</v>
      </c>
      <c r="E792" s="4" t="str">
        <f t="shared" si="64"/>
        <v>Tuesday</v>
      </c>
      <c r="F792" s="4" t="str">
        <f t="shared" si="65"/>
        <v>December</v>
      </c>
      <c r="G792" s="3">
        <v>45265</v>
      </c>
      <c r="H792" s="4" t="s">
        <v>823</v>
      </c>
      <c r="I792" s="4" t="s">
        <v>22</v>
      </c>
      <c r="J792" s="4" t="str" cm="1">
        <f t="array" ref="J792">_xlfn.IFS(K792&lt;30,"Young Adult",K792&lt;50,"Adult",K792&gt;=50,"Senior")</f>
        <v>Senior</v>
      </c>
      <c r="K792" s="4">
        <v>51</v>
      </c>
      <c r="L792" s="4" t="s">
        <v>20</v>
      </c>
      <c r="M792" s="4">
        <v>1</v>
      </c>
      <c r="N792" s="16">
        <v>25</v>
      </c>
      <c r="O792" s="17">
        <f>M792*N792</f>
        <v>25</v>
      </c>
      <c r="P792" s="13">
        <f>$O792*$U$4</f>
        <v>0.375</v>
      </c>
      <c r="Q792" s="13">
        <f>$O792*$U$5</f>
        <v>0.5</v>
      </c>
      <c r="R792" s="13" cm="1">
        <f t="array" ref="R792">_xlfn.IFS(B792=2023,O792*$U$4,B792=2024,O792*$U$5)</f>
        <v>0.375</v>
      </c>
    </row>
    <row r="793" spans="1:18">
      <c r="A793" s="2">
        <v>792</v>
      </c>
      <c r="B793" s="4">
        <f t="shared" si="61"/>
        <v>2023</v>
      </c>
      <c r="C793" s="4">
        <f t="shared" si="62"/>
        <v>7</v>
      </c>
      <c r="D793" s="4">
        <f t="shared" si="63"/>
        <v>9</v>
      </c>
      <c r="E793" s="4" t="str">
        <f t="shared" si="64"/>
        <v>Sunday</v>
      </c>
      <c r="F793" s="4" t="str">
        <f t="shared" si="65"/>
        <v>July</v>
      </c>
      <c r="G793" s="3">
        <v>45116</v>
      </c>
      <c r="H793" s="4" t="s">
        <v>824</v>
      </c>
      <c r="I793" s="4" t="s">
        <v>22</v>
      </c>
      <c r="J793" s="4" t="str" cm="1">
        <f t="array" ref="J793">_xlfn.IFS(K793&lt;30,"Young Adult",K793&lt;50,"Adult",K793&gt;=50,"Senior")</f>
        <v>Young Adult</v>
      </c>
      <c r="K793" s="4">
        <v>20</v>
      </c>
      <c r="L793" s="4" t="s">
        <v>20</v>
      </c>
      <c r="M793" s="4">
        <v>1</v>
      </c>
      <c r="N793" s="16">
        <v>50</v>
      </c>
      <c r="O793" s="17">
        <f>M793*N793</f>
        <v>50</v>
      </c>
      <c r="P793" s="13">
        <f>$O793*$U$4</f>
        <v>0.75</v>
      </c>
      <c r="Q793" s="13">
        <f>$O793*$U$5</f>
        <v>1</v>
      </c>
      <c r="R793" s="13" cm="1">
        <f t="array" ref="R793">_xlfn.IFS(B793=2023,O793*$U$4,B793=2024,O793*$U$5)</f>
        <v>0.75</v>
      </c>
    </row>
    <row r="794" spans="1:18">
      <c r="A794" s="2">
        <v>793</v>
      </c>
      <c r="B794" s="4">
        <f t="shared" si="61"/>
        <v>2023</v>
      </c>
      <c r="C794" s="4">
        <f t="shared" si="62"/>
        <v>2</v>
      </c>
      <c r="D794" s="4">
        <f t="shared" si="63"/>
        <v>5</v>
      </c>
      <c r="E794" s="4" t="str">
        <f t="shared" si="64"/>
        <v>Sunday</v>
      </c>
      <c r="F794" s="4" t="str">
        <f t="shared" si="65"/>
        <v>February</v>
      </c>
      <c r="G794" s="3">
        <v>44962</v>
      </c>
      <c r="H794" s="4" t="s">
        <v>825</v>
      </c>
      <c r="I794" s="4" t="s">
        <v>19</v>
      </c>
      <c r="J794" s="4" t="str" cm="1">
        <f t="array" ref="J794">_xlfn.IFS(K794&lt;30,"Young Adult",K794&lt;50,"Adult",K794&gt;=50,"Senior")</f>
        <v>Senior</v>
      </c>
      <c r="K794" s="4">
        <v>54</v>
      </c>
      <c r="L794" s="4" t="s">
        <v>20</v>
      </c>
      <c r="M794" s="4">
        <v>1</v>
      </c>
      <c r="N794" s="16">
        <v>30</v>
      </c>
      <c r="O794" s="17">
        <f>M794*N794</f>
        <v>30</v>
      </c>
      <c r="P794" s="13">
        <f>$O794*$U$4</f>
        <v>0.44999999999999996</v>
      </c>
      <c r="Q794" s="13">
        <f>$O794*$U$5</f>
        <v>0.6</v>
      </c>
      <c r="R794" s="13" cm="1">
        <f t="array" ref="R794">_xlfn.IFS(B794=2023,O794*$U$4,B794=2024,O794*$U$5)</f>
        <v>0.44999999999999996</v>
      </c>
    </row>
    <row r="795" spans="1:18">
      <c r="A795" s="2">
        <v>794</v>
      </c>
      <c r="B795" s="4">
        <f t="shared" si="61"/>
        <v>2023</v>
      </c>
      <c r="C795" s="4">
        <f t="shared" si="62"/>
        <v>9</v>
      </c>
      <c r="D795" s="4">
        <f t="shared" si="63"/>
        <v>17</v>
      </c>
      <c r="E795" s="4" t="str">
        <f t="shared" si="64"/>
        <v>Sunday</v>
      </c>
      <c r="F795" s="4" t="str">
        <f t="shared" si="65"/>
        <v>September</v>
      </c>
      <c r="G795" s="3">
        <v>45186</v>
      </c>
      <c r="H795" s="4" t="s">
        <v>826</v>
      </c>
      <c r="I795" s="4" t="s">
        <v>22</v>
      </c>
      <c r="J795" s="4" t="str" cm="1">
        <f t="array" ref="J795">_xlfn.IFS(K795&lt;30,"Young Adult",K795&lt;50,"Adult",K795&gt;=50,"Senior")</f>
        <v>Senior</v>
      </c>
      <c r="K795" s="4">
        <v>60</v>
      </c>
      <c r="L795" s="4" t="s">
        <v>20</v>
      </c>
      <c r="M795" s="4">
        <v>1</v>
      </c>
      <c r="N795" s="16">
        <v>300</v>
      </c>
      <c r="O795" s="17">
        <f>M795*N795</f>
        <v>300</v>
      </c>
      <c r="P795" s="13">
        <f>$O795*$U$4</f>
        <v>4.5</v>
      </c>
      <c r="Q795" s="13">
        <f>$O795*$U$5</f>
        <v>6</v>
      </c>
      <c r="R795" s="13" cm="1">
        <f t="array" ref="R795">_xlfn.IFS(B795=2023,O795*$U$4,B795=2024,O795*$U$5)</f>
        <v>4.5</v>
      </c>
    </row>
    <row r="796" spans="1:18">
      <c r="A796" s="2">
        <v>795</v>
      </c>
      <c r="B796" s="4">
        <f t="shared" si="61"/>
        <v>2023</v>
      </c>
      <c r="C796" s="4">
        <f t="shared" si="62"/>
        <v>11</v>
      </c>
      <c r="D796" s="4">
        <f t="shared" si="63"/>
        <v>28</v>
      </c>
      <c r="E796" s="4" t="str">
        <f t="shared" si="64"/>
        <v>Tuesday</v>
      </c>
      <c r="F796" s="4" t="str">
        <f t="shared" si="65"/>
        <v>November</v>
      </c>
      <c r="G796" s="3">
        <v>45258</v>
      </c>
      <c r="H796" s="4" t="s">
        <v>827</v>
      </c>
      <c r="I796" s="4" t="s">
        <v>19</v>
      </c>
      <c r="J796" s="4" t="str" cm="1">
        <f t="array" ref="J796">_xlfn.IFS(K796&lt;30,"Young Adult",K796&lt;50,"Adult",K796&gt;=50,"Senior")</f>
        <v>Senior</v>
      </c>
      <c r="K796" s="4">
        <v>57</v>
      </c>
      <c r="L796" s="4" t="s">
        <v>26</v>
      </c>
      <c r="M796" s="4">
        <v>1</v>
      </c>
      <c r="N796" s="16">
        <v>300</v>
      </c>
      <c r="O796" s="17">
        <f>M796*N796</f>
        <v>300</v>
      </c>
      <c r="P796" s="13">
        <f>$O796*$U$4</f>
        <v>4.5</v>
      </c>
      <c r="Q796" s="13">
        <f>$O796*$U$5</f>
        <v>6</v>
      </c>
      <c r="R796" s="13" cm="1">
        <f t="array" ref="R796">_xlfn.IFS(B796=2023,O796*$U$4,B796=2024,O796*$U$5)</f>
        <v>4.5</v>
      </c>
    </row>
    <row r="797" spans="1:18">
      <c r="A797" s="2">
        <v>796</v>
      </c>
      <c r="B797" s="4">
        <f t="shared" si="61"/>
        <v>2023</v>
      </c>
      <c r="C797" s="4">
        <f t="shared" si="62"/>
        <v>6</v>
      </c>
      <c r="D797" s="4">
        <f t="shared" si="63"/>
        <v>24</v>
      </c>
      <c r="E797" s="4" t="str">
        <f t="shared" si="64"/>
        <v>Saturday</v>
      </c>
      <c r="F797" s="4" t="str">
        <f t="shared" si="65"/>
        <v>June</v>
      </c>
      <c r="G797" s="3">
        <v>45101</v>
      </c>
      <c r="H797" s="4" t="s">
        <v>828</v>
      </c>
      <c r="I797" s="4" t="s">
        <v>19</v>
      </c>
      <c r="J797" s="4" t="str" cm="1">
        <f t="array" ref="J797">_xlfn.IFS(K797&lt;30,"Young Adult",K797&lt;50,"Adult",K797&gt;=50,"Senior")</f>
        <v>Adult</v>
      </c>
      <c r="K797" s="4">
        <v>43</v>
      </c>
      <c r="L797" s="4" t="s">
        <v>20</v>
      </c>
      <c r="M797" s="4">
        <v>4</v>
      </c>
      <c r="N797" s="16">
        <v>30</v>
      </c>
      <c r="O797" s="17">
        <f>M797*N797</f>
        <v>120</v>
      </c>
      <c r="P797" s="13">
        <f>$O797*$U$4</f>
        <v>1.7999999999999998</v>
      </c>
      <c r="Q797" s="13">
        <f>$O797*$U$5</f>
        <v>2.4</v>
      </c>
      <c r="R797" s="13" cm="1">
        <f t="array" ref="R797">_xlfn.IFS(B797=2023,O797*$U$4,B797=2024,O797*$U$5)</f>
        <v>1.7999999999999998</v>
      </c>
    </row>
    <row r="798" spans="1:18">
      <c r="A798" s="2">
        <v>797</v>
      </c>
      <c r="B798" s="4">
        <f t="shared" si="61"/>
        <v>2023</v>
      </c>
      <c r="C798" s="4">
        <f t="shared" si="62"/>
        <v>1</v>
      </c>
      <c r="D798" s="4">
        <f t="shared" si="63"/>
        <v>7</v>
      </c>
      <c r="E798" s="4" t="str">
        <f t="shared" si="64"/>
        <v>Saturday</v>
      </c>
      <c r="F798" s="4" t="str">
        <f t="shared" si="65"/>
        <v>January</v>
      </c>
      <c r="G798" s="3">
        <v>44933</v>
      </c>
      <c r="H798" s="4" t="s">
        <v>829</v>
      </c>
      <c r="I798" s="4" t="s">
        <v>19</v>
      </c>
      <c r="J798" s="4" t="str" cm="1">
        <f t="array" ref="J798">_xlfn.IFS(K798&lt;30,"Young Adult",K798&lt;50,"Adult",K798&gt;=50,"Senior")</f>
        <v>Adult</v>
      </c>
      <c r="K798" s="4">
        <v>40</v>
      </c>
      <c r="L798" s="4" t="s">
        <v>23</v>
      </c>
      <c r="M798" s="4">
        <v>3</v>
      </c>
      <c r="N798" s="16">
        <v>25</v>
      </c>
      <c r="O798" s="17">
        <f>M798*N798</f>
        <v>75</v>
      </c>
      <c r="P798" s="13">
        <f>$O798*$U$4</f>
        <v>1.125</v>
      </c>
      <c r="Q798" s="13">
        <f>$O798*$U$5</f>
        <v>1.5</v>
      </c>
      <c r="R798" s="13" cm="1">
        <f t="array" ref="R798">_xlfn.IFS(B798=2023,O798*$U$4,B798=2024,O798*$U$5)</f>
        <v>1.125</v>
      </c>
    </row>
    <row r="799" spans="1:18">
      <c r="A799" s="2">
        <v>798</v>
      </c>
      <c r="B799" s="4">
        <f t="shared" si="61"/>
        <v>2023</v>
      </c>
      <c r="C799" s="4">
        <f t="shared" si="62"/>
        <v>8</v>
      </c>
      <c r="D799" s="4">
        <f t="shared" si="63"/>
        <v>4</v>
      </c>
      <c r="E799" s="4" t="str">
        <f t="shared" si="64"/>
        <v>Friday</v>
      </c>
      <c r="F799" s="4" t="str">
        <f t="shared" si="65"/>
        <v>August</v>
      </c>
      <c r="G799" s="3">
        <v>45142</v>
      </c>
      <c r="H799" s="4" t="s">
        <v>830</v>
      </c>
      <c r="I799" s="4" t="s">
        <v>19</v>
      </c>
      <c r="J799" s="4" t="str" cm="1">
        <f t="array" ref="J799">_xlfn.IFS(K799&lt;30,"Young Adult",K799&lt;50,"Adult",K799&gt;=50,"Senior")</f>
        <v>Senior</v>
      </c>
      <c r="K799" s="4">
        <v>61</v>
      </c>
      <c r="L799" s="4" t="s">
        <v>23</v>
      </c>
      <c r="M799" s="4">
        <v>1</v>
      </c>
      <c r="N799" s="16">
        <v>50</v>
      </c>
      <c r="O799" s="17">
        <f>M799*N799</f>
        <v>50</v>
      </c>
      <c r="P799" s="13">
        <f>$O799*$U$4</f>
        <v>0.75</v>
      </c>
      <c r="Q799" s="13">
        <f>$O799*$U$5</f>
        <v>1</v>
      </c>
      <c r="R799" s="13" cm="1">
        <f t="array" ref="R799">_xlfn.IFS(B799=2023,O799*$U$4,B799=2024,O799*$U$5)</f>
        <v>0.75</v>
      </c>
    </row>
    <row r="800" spans="1:18">
      <c r="A800" s="2">
        <v>799</v>
      </c>
      <c r="B800" s="4">
        <f t="shared" si="61"/>
        <v>2023</v>
      </c>
      <c r="C800" s="4">
        <f t="shared" si="62"/>
        <v>9</v>
      </c>
      <c r="D800" s="4">
        <f t="shared" si="63"/>
        <v>8</v>
      </c>
      <c r="E800" s="4" t="str">
        <f t="shared" si="64"/>
        <v>Friday</v>
      </c>
      <c r="F800" s="4" t="str">
        <f t="shared" si="65"/>
        <v>September</v>
      </c>
      <c r="G800" s="3">
        <v>45177</v>
      </c>
      <c r="H800" s="4" t="s">
        <v>831</v>
      </c>
      <c r="I800" s="4" t="s">
        <v>19</v>
      </c>
      <c r="J800" s="4" t="str" cm="1">
        <f t="array" ref="J800">_xlfn.IFS(K800&lt;30,"Young Adult",K800&lt;50,"Adult",K800&gt;=50,"Senior")</f>
        <v>Senior</v>
      </c>
      <c r="K800" s="4">
        <v>56</v>
      </c>
      <c r="L800" s="4" t="s">
        <v>26</v>
      </c>
      <c r="M800" s="4">
        <v>2</v>
      </c>
      <c r="N800" s="16">
        <v>50</v>
      </c>
      <c r="O800" s="17">
        <f>M800*N800</f>
        <v>100</v>
      </c>
      <c r="P800" s="13">
        <f>$O800*$U$4</f>
        <v>1.5</v>
      </c>
      <c r="Q800" s="13">
        <f>$O800*$U$5</f>
        <v>2</v>
      </c>
      <c r="R800" s="13" cm="1">
        <f t="array" ref="R800">_xlfn.IFS(B800=2023,O800*$U$4,B800=2024,O800*$U$5)</f>
        <v>1.5</v>
      </c>
    </row>
    <row r="801" spans="1:18">
      <c r="A801" s="2">
        <v>800</v>
      </c>
      <c r="B801" s="4">
        <f t="shared" si="61"/>
        <v>2023</v>
      </c>
      <c r="C801" s="4">
        <f t="shared" si="62"/>
        <v>2</v>
      </c>
      <c r="D801" s="4">
        <f t="shared" si="63"/>
        <v>24</v>
      </c>
      <c r="E801" s="4" t="str">
        <f t="shared" si="64"/>
        <v>Friday</v>
      </c>
      <c r="F801" s="4" t="str">
        <f t="shared" si="65"/>
        <v>February</v>
      </c>
      <c r="G801" s="3">
        <v>44981</v>
      </c>
      <c r="H801" s="4" t="s">
        <v>832</v>
      </c>
      <c r="I801" s="4" t="s">
        <v>19</v>
      </c>
      <c r="J801" s="4" t="str" cm="1">
        <f t="array" ref="J801">_xlfn.IFS(K801&lt;30,"Young Adult",K801&lt;50,"Adult",K801&gt;=50,"Senior")</f>
        <v>Adult</v>
      </c>
      <c r="K801" s="4">
        <v>32</v>
      </c>
      <c r="L801" s="4" t="s">
        <v>23</v>
      </c>
      <c r="M801" s="4">
        <v>4</v>
      </c>
      <c r="N801" s="16">
        <v>300</v>
      </c>
      <c r="O801" s="17">
        <f>M801*N801</f>
        <v>1200</v>
      </c>
      <c r="P801" s="13">
        <f>$O801*$U$4</f>
        <v>18</v>
      </c>
      <c r="Q801" s="13">
        <f>$O801*$U$5</f>
        <v>24</v>
      </c>
      <c r="R801" s="13" cm="1">
        <f t="array" ref="R801">_xlfn.IFS(B801=2023,O801*$U$4,B801=2024,O801*$U$5)</f>
        <v>18</v>
      </c>
    </row>
    <row r="802" spans="1:18">
      <c r="A802" s="2">
        <v>801</v>
      </c>
      <c r="B802" s="4">
        <f t="shared" si="61"/>
        <v>2023</v>
      </c>
      <c r="C802" s="4">
        <f t="shared" si="62"/>
        <v>8</v>
      </c>
      <c r="D802" s="4">
        <f t="shared" si="63"/>
        <v>10</v>
      </c>
      <c r="E802" s="4" t="str">
        <f t="shared" si="64"/>
        <v>Thursday</v>
      </c>
      <c r="F802" s="4" t="str">
        <f t="shared" si="65"/>
        <v>August</v>
      </c>
      <c r="G802" s="3">
        <v>45148</v>
      </c>
      <c r="H802" s="4" t="s">
        <v>833</v>
      </c>
      <c r="I802" s="4" t="s">
        <v>19</v>
      </c>
      <c r="J802" s="4" t="str" cm="1">
        <f t="array" ref="J802">_xlfn.IFS(K802&lt;30,"Young Adult",K802&lt;50,"Adult",K802&gt;=50,"Senior")</f>
        <v>Young Adult</v>
      </c>
      <c r="K802" s="4">
        <v>21</v>
      </c>
      <c r="L802" s="4" t="s">
        <v>23</v>
      </c>
      <c r="M802" s="4">
        <v>4</v>
      </c>
      <c r="N802" s="16">
        <v>50</v>
      </c>
      <c r="O802" s="17">
        <f>M802*N802</f>
        <v>200</v>
      </c>
      <c r="P802" s="13">
        <f>$O802*$U$4</f>
        <v>3</v>
      </c>
      <c r="Q802" s="13">
        <f>$O802*$U$5</f>
        <v>4</v>
      </c>
      <c r="R802" s="13" cm="1">
        <f t="array" ref="R802">_xlfn.IFS(B802=2023,O802*$U$4,B802=2024,O802*$U$5)</f>
        <v>3</v>
      </c>
    </row>
    <row r="803" spans="1:18">
      <c r="A803" s="2">
        <v>802</v>
      </c>
      <c r="B803" s="4">
        <f t="shared" si="61"/>
        <v>2023</v>
      </c>
      <c r="C803" s="4">
        <f t="shared" si="62"/>
        <v>7</v>
      </c>
      <c r="D803" s="4">
        <f t="shared" si="63"/>
        <v>5</v>
      </c>
      <c r="E803" s="4" t="str">
        <f t="shared" si="64"/>
        <v>Wednesday</v>
      </c>
      <c r="F803" s="4" t="str">
        <f t="shared" si="65"/>
        <v>July</v>
      </c>
      <c r="G803" s="3">
        <v>45112</v>
      </c>
      <c r="H803" s="4" t="s">
        <v>834</v>
      </c>
      <c r="I803" s="4" t="s">
        <v>22</v>
      </c>
      <c r="J803" s="4" t="str" cm="1">
        <f t="array" ref="J803">_xlfn.IFS(K803&lt;30,"Young Adult",K803&lt;50,"Adult",K803&gt;=50,"Senior")</f>
        <v>Adult</v>
      </c>
      <c r="K803" s="4">
        <v>46</v>
      </c>
      <c r="L803" s="4" t="s">
        <v>20</v>
      </c>
      <c r="M803" s="4">
        <v>1</v>
      </c>
      <c r="N803" s="16">
        <v>30</v>
      </c>
      <c r="O803" s="17">
        <f>M803*N803</f>
        <v>30</v>
      </c>
      <c r="P803" s="13">
        <f>$O803*$U$4</f>
        <v>0.44999999999999996</v>
      </c>
      <c r="Q803" s="13">
        <f>$O803*$U$5</f>
        <v>0.6</v>
      </c>
      <c r="R803" s="13" cm="1">
        <f t="array" ref="R803">_xlfn.IFS(B803=2023,O803*$U$4,B803=2024,O803*$U$5)</f>
        <v>0.44999999999999996</v>
      </c>
    </row>
    <row r="804" spans="1:18">
      <c r="A804" s="2">
        <v>803</v>
      </c>
      <c r="B804" s="4">
        <f t="shared" si="61"/>
        <v>2023</v>
      </c>
      <c r="C804" s="4">
        <f t="shared" si="62"/>
        <v>11</v>
      </c>
      <c r="D804" s="4">
        <f t="shared" si="63"/>
        <v>22</v>
      </c>
      <c r="E804" s="4" t="str">
        <f t="shared" si="64"/>
        <v>Wednesday</v>
      </c>
      <c r="F804" s="4" t="str">
        <f t="shared" si="65"/>
        <v>November</v>
      </c>
      <c r="G804" s="3">
        <v>45252</v>
      </c>
      <c r="H804" s="4" t="s">
        <v>835</v>
      </c>
      <c r="I804" s="4" t="s">
        <v>19</v>
      </c>
      <c r="J804" s="4" t="str" cm="1">
        <f t="array" ref="J804">_xlfn.IFS(K804&lt;30,"Young Adult",K804&lt;50,"Adult",K804&gt;=50,"Senior")</f>
        <v>Adult</v>
      </c>
      <c r="K804" s="4">
        <v>39</v>
      </c>
      <c r="L804" s="4" t="s">
        <v>23</v>
      </c>
      <c r="M804" s="4">
        <v>4</v>
      </c>
      <c r="N804" s="16">
        <v>25</v>
      </c>
      <c r="O804" s="17">
        <f>M804*N804</f>
        <v>100</v>
      </c>
      <c r="P804" s="13">
        <f>$O804*$U$4</f>
        <v>1.5</v>
      </c>
      <c r="Q804" s="13">
        <f>$O804*$U$5</f>
        <v>2</v>
      </c>
      <c r="R804" s="13" cm="1">
        <f t="array" ref="R804">_xlfn.IFS(B804=2023,O804*$U$4,B804=2024,O804*$U$5)</f>
        <v>1.5</v>
      </c>
    </row>
    <row r="805" spans="1:18">
      <c r="A805" s="2">
        <v>804</v>
      </c>
      <c r="B805" s="4">
        <f t="shared" si="61"/>
        <v>2023</v>
      </c>
      <c r="C805" s="4">
        <f t="shared" si="62"/>
        <v>8</v>
      </c>
      <c r="D805" s="4">
        <f t="shared" si="63"/>
        <v>24</v>
      </c>
      <c r="E805" s="4" t="str">
        <f t="shared" si="64"/>
        <v>Thursday</v>
      </c>
      <c r="F805" s="4" t="str">
        <f t="shared" si="65"/>
        <v>August</v>
      </c>
      <c r="G805" s="3">
        <v>45162</v>
      </c>
      <c r="H805" s="4" t="s">
        <v>836</v>
      </c>
      <c r="I805" s="4" t="s">
        <v>19</v>
      </c>
      <c r="J805" s="4" t="str" cm="1">
        <f t="array" ref="J805">_xlfn.IFS(K805&lt;30,"Young Adult",K805&lt;50,"Adult",K805&gt;=50,"Senior")</f>
        <v>Adult</v>
      </c>
      <c r="K805" s="4">
        <v>42</v>
      </c>
      <c r="L805" s="4" t="s">
        <v>26</v>
      </c>
      <c r="M805" s="4">
        <v>1</v>
      </c>
      <c r="N805" s="16">
        <v>30</v>
      </c>
      <c r="O805" s="17">
        <f>M805*N805</f>
        <v>30</v>
      </c>
      <c r="P805" s="13">
        <f>$O805*$U$4</f>
        <v>0.44999999999999996</v>
      </c>
      <c r="Q805" s="13">
        <f>$O805*$U$5</f>
        <v>0.6</v>
      </c>
      <c r="R805" s="13" cm="1">
        <f t="array" ref="R805">_xlfn.IFS(B805=2023,O805*$U$4,B805=2024,O805*$U$5)</f>
        <v>0.44999999999999996</v>
      </c>
    </row>
    <row r="806" spans="1:18">
      <c r="A806" s="2">
        <v>805</v>
      </c>
      <c r="B806" s="4">
        <f t="shared" si="61"/>
        <v>2023</v>
      </c>
      <c r="C806" s="4">
        <f t="shared" si="62"/>
        <v>12</v>
      </c>
      <c r="D806" s="4">
        <f t="shared" si="63"/>
        <v>29</v>
      </c>
      <c r="E806" s="4" t="str">
        <f t="shared" si="64"/>
        <v>Friday</v>
      </c>
      <c r="F806" s="4" t="str">
        <f t="shared" si="65"/>
        <v>December</v>
      </c>
      <c r="G806" s="3">
        <v>45289</v>
      </c>
      <c r="H806" s="4" t="s">
        <v>837</v>
      </c>
      <c r="I806" s="4" t="s">
        <v>22</v>
      </c>
      <c r="J806" s="4" t="str" cm="1">
        <f t="array" ref="J806">_xlfn.IFS(K806&lt;30,"Young Adult",K806&lt;50,"Adult",K806&gt;=50,"Senior")</f>
        <v>Adult</v>
      </c>
      <c r="K806" s="4">
        <v>30</v>
      </c>
      <c r="L806" s="4" t="s">
        <v>20</v>
      </c>
      <c r="M806" s="4">
        <v>3</v>
      </c>
      <c r="N806" s="16">
        <v>500</v>
      </c>
      <c r="O806" s="17">
        <f>M806*N806</f>
        <v>1500</v>
      </c>
      <c r="P806" s="13">
        <f>$O806*$U$4</f>
        <v>22.5</v>
      </c>
      <c r="Q806" s="13">
        <f>$O806*$U$5</f>
        <v>30</v>
      </c>
      <c r="R806" s="13" cm="1">
        <f t="array" ref="R806">_xlfn.IFS(B806=2023,O806*$U$4,B806=2024,O806*$U$5)</f>
        <v>22.5</v>
      </c>
    </row>
    <row r="807" spans="1:18">
      <c r="A807" s="2">
        <v>806</v>
      </c>
      <c r="B807" s="4">
        <f t="shared" si="61"/>
        <v>2023</v>
      </c>
      <c r="C807" s="4">
        <f t="shared" si="62"/>
        <v>3</v>
      </c>
      <c r="D807" s="4">
        <f t="shared" si="63"/>
        <v>20</v>
      </c>
      <c r="E807" s="4" t="str">
        <f t="shared" si="64"/>
        <v>Monday</v>
      </c>
      <c r="F807" s="4" t="str">
        <f t="shared" si="65"/>
        <v>March</v>
      </c>
      <c r="G807" s="3">
        <v>45005</v>
      </c>
      <c r="H807" s="4" t="s">
        <v>838</v>
      </c>
      <c r="I807" s="4" t="s">
        <v>22</v>
      </c>
      <c r="J807" s="4" t="str" cm="1">
        <f t="array" ref="J807">_xlfn.IFS(K807&lt;30,"Young Adult",K807&lt;50,"Adult",K807&gt;=50,"Senior")</f>
        <v>Adult</v>
      </c>
      <c r="K807" s="4">
        <v>35</v>
      </c>
      <c r="L807" s="4" t="s">
        <v>20</v>
      </c>
      <c r="M807" s="4">
        <v>3</v>
      </c>
      <c r="N807" s="16">
        <v>300</v>
      </c>
      <c r="O807" s="17">
        <f>M807*N807</f>
        <v>900</v>
      </c>
      <c r="P807" s="13">
        <f>$O807*$U$4</f>
        <v>13.5</v>
      </c>
      <c r="Q807" s="13">
        <f>$O807*$U$5</f>
        <v>18</v>
      </c>
      <c r="R807" s="13" cm="1">
        <f t="array" ref="R807">_xlfn.IFS(B807=2023,O807*$U$4,B807=2024,O807*$U$5)</f>
        <v>13.5</v>
      </c>
    </row>
    <row r="808" spans="1:18">
      <c r="A808" s="2">
        <v>807</v>
      </c>
      <c r="B808" s="4">
        <f t="shared" si="61"/>
        <v>2023</v>
      </c>
      <c r="C808" s="4">
        <f t="shared" si="62"/>
        <v>8</v>
      </c>
      <c r="D808" s="4">
        <f t="shared" si="63"/>
        <v>11</v>
      </c>
      <c r="E808" s="4" t="str">
        <f t="shared" si="64"/>
        <v>Friday</v>
      </c>
      <c r="F808" s="4" t="str">
        <f t="shared" si="65"/>
        <v>August</v>
      </c>
      <c r="G808" s="3">
        <v>45149</v>
      </c>
      <c r="H808" s="4" t="s">
        <v>839</v>
      </c>
      <c r="I808" s="4" t="s">
        <v>22</v>
      </c>
      <c r="J808" s="4" t="str" cm="1">
        <f t="array" ref="J808">_xlfn.IFS(K808&lt;30,"Young Adult",K808&lt;50,"Adult",K808&gt;=50,"Senior")</f>
        <v>Senior</v>
      </c>
      <c r="K808" s="4">
        <v>50</v>
      </c>
      <c r="L808" s="4" t="s">
        <v>26</v>
      </c>
      <c r="M808" s="4">
        <v>4</v>
      </c>
      <c r="N808" s="16">
        <v>50</v>
      </c>
      <c r="O808" s="17">
        <f>M808*N808</f>
        <v>200</v>
      </c>
      <c r="P808" s="13">
        <f>$O808*$U$4</f>
        <v>3</v>
      </c>
      <c r="Q808" s="13">
        <f>$O808*$U$5</f>
        <v>4</v>
      </c>
      <c r="R808" s="13" cm="1">
        <f t="array" ref="R808">_xlfn.IFS(B808=2023,O808*$U$4,B808=2024,O808*$U$5)</f>
        <v>3</v>
      </c>
    </row>
    <row r="809" spans="1:18">
      <c r="A809" s="2">
        <v>808</v>
      </c>
      <c r="B809" s="4">
        <f t="shared" si="61"/>
        <v>2023</v>
      </c>
      <c r="C809" s="4">
        <f t="shared" si="62"/>
        <v>4</v>
      </c>
      <c r="D809" s="4">
        <f t="shared" si="63"/>
        <v>1</v>
      </c>
      <c r="E809" s="4" t="str">
        <f t="shared" si="64"/>
        <v>Saturday</v>
      </c>
      <c r="F809" s="4" t="str">
        <f t="shared" si="65"/>
        <v>April</v>
      </c>
      <c r="G809" s="3">
        <v>45017</v>
      </c>
      <c r="H809" s="4" t="s">
        <v>840</v>
      </c>
      <c r="I809" s="4" t="s">
        <v>19</v>
      </c>
      <c r="J809" s="4" t="str" cm="1">
        <f t="array" ref="J809">_xlfn.IFS(K809&lt;30,"Young Adult",K809&lt;50,"Adult",K809&gt;=50,"Senior")</f>
        <v>Adult</v>
      </c>
      <c r="K809" s="4">
        <v>33</v>
      </c>
      <c r="L809" s="4" t="s">
        <v>20</v>
      </c>
      <c r="M809" s="4">
        <v>4</v>
      </c>
      <c r="N809" s="16">
        <v>500</v>
      </c>
      <c r="O809" s="17">
        <f>M809*N809</f>
        <v>2000</v>
      </c>
      <c r="P809" s="13">
        <f>$O809*$U$4</f>
        <v>30</v>
      </c>
      <c r="Q809" s="13">
        <f>$O809*$U$5</f>
        <v>40</v>
      </c>
      <c r="R809" s="13" cm="1">
        <f t="array" ref="R809">_xlfn.IFS(B809=2023,O809*$U$4,B809=2024,O809*$U$5)</f>
        <v>30</v>
      </c>
    </row>
    <row r="810" spans="1:18">
      <c r="A810" s="2">
        <v>809</v>
      </c>
      <c r="B810" s="4">
        <f t="shared" si="61"/>
        <v>2023</v>
      </c>
      <c r="C810" s="4">
        <f t="shared" si="62"/>
        <v>9</v>
      </c>
      <c r="D810" s="4">
        <f t="shared" si="63"/>
        <v>25</v>
      </c>
      <c r="E810" s="4" t="str">
        <f t="shared" si="64"/>
        <v>Monday</v>
      </c>
      <c r="F810" s="4" t="str">
        <f t="shared" si="65"/>
        <v>September</v>
      </c>
      <c r="G810" s="3">
        <v>45194</v>
      </c>
      <c r="H810" s="4" t="s">
        <v>841</v>
      </c>
      <c r="I810" s="4" t="s">
        <v>22</v>
      </c>
      <c r="J810" s="4" t="str" cm="1">
        <f t="array" ref="J810">_xlfn.IFS(K810&lt;30,"Young Adult",K810&lt;50,"Adult",K810&gt;=50,"Senior")</f>
        <v>Senior</v>
      </c>
      <c r="K810" s="4">
        <v>62</v>
      </c>
      <c r="L810" s="4" t="s">
        <v>20</v>
      </c>
      <c r="M810" s="4">
        <v>2</v>
      </c>
      <c r="N810" s="16">
        <v>50</v>
      </c>
      <c r="O810" s="17">
        <f>M810*N810</f>
        <v>100</v>
      </c>
      <c r="P810" s="13">
        <f>$O810*$U$4</f>
        <v>1.5</v>
      </c>
      <c r="Q810" s="13">
        <f>$O810*$U$5</f>
        <v>2</v>
      </c>
      <c r="R810" s="13" cm="1">
        <f t="array" ref="R810">_xlfn.IFS(B810=2023,O810*$U$4,B810=2024,O810*$U$5)</f>
        <v>1.5</v>
      </c>
    </row>
    <row r="811" spans="1:18">
      <c r="A811" s="2">
        <v>810</v>
      </c>
      <c r="B811" s="4">
        <f t="shared" si="61"/>
        <v>2023</v>
      </c>
      <c r="C811" s="4">
        <f t="shared" si="62"/>
        <v>11</v>
      </c>
      <c r="D811" s="4">
        <f t="shared" si="63"/>
        <v>30</v>
      </c>
      <c r="E811" s="4" t="str">
        <f t="shared" si="64"/>
        <v>Thursday</v>
      </c>
      <c r="F811" s="4" t="str">
        <f t="shared" si="65"/>
        <v>November</v>
      </c>
      <c r="G811" s="3">
        <v>45260</v>
      </c>
      <c r="H811" s="4" t="s">
        <v>842</v>
      </c>
      <c r="I811" s="4" t="s">
        <v>19</v>
      </c>
      <c r="J811" s="4" t="str" cm="1">
        <f t="array" ref="J811">_xlfn.IFS(K811&lt;30,"Young Adult",K811&lt;50,"Adult",K811&gt;=50,"Senior")</f>
        <v>Senior</v>
      </c>
      <c r="K811" s="4">
        <v>59</v>
      </c>
      <c r="L811" s="4" t="s">
        <v>26</v>
      </c>
      <c r="M811" s="4">
        <v>4</v>
      </c>
      <c r="N811" s="16">
        <v>25</v>
      </c>
      <c r="O811" s="17">
        <f>M811*N811</f>
        <v>100</v>
      </c>
      <c r="P811" s="13">
        <f>$O811*$U$4</f>
        <v>1.5</v>
      </c>
      <c r="Q811" s="13">
        <f>$O811*$U$5</f>
        <v>2</v>
      </c>
      <c r="R811" s="13" cm="1">
        <f t="array" ref="R811">_xlfn.IFS(B811=2023,O811*$U$4,B811=2024,O811*$U$5)</f>
        <v>1.5</v>
      </c>
    </row>
    <row r="812" spans="1:18">
      <c r="A812" s="2">
        <v>811</v>
      </c>
      <c r="B812" s="4">
        <f t="shared" si="61"/>
        <v>2023</v>
      </c>
      <c r="C812" s="4">
        <f t="shared" si="62"/>
        <v>5</v>
      </c>
      <c r="D812" s="4">
        <f t="shared" si="63"/>
        <v>19</v>
      </c>
      <c r="E812" s="4" t="str">
        <f t="shared" si="64"/>
        <v>Friday</v>
      </c>
      <c r="F812" s="4" t="str">
        <f t="shared" si="65"/>
        <v>May</v>
      </c>
      <c r="G812" s="3">
        <v>45065</v>
      </c>
      <c r="H812" s="4" t="s">
        <v>843</v>
      </c>
      <c r="I812" s="4" t="s">
        <v>19</v>
      </c>
      <c r="J812" s="4" t="str" cm="1">
        <f t="array" ref="J812">_xlfn.IFS(K812&lt;30,"Young Adult",K812&lt;50,"Adult",K812&gt;=50,"Senior")</f>
        <v>Senior</v>
      </c>
      <c r="K812" s="4">
        <v>61</v>
      </c>
      <c r="L812" s="4" t="s">
        <v>20</v>
      </c>
      <c r="M812" s="4">
        <v>2</v>
      </c>
      <c r="N812" s="16">
        <v>25</v>
      </c>
      <c r="O812" s="17">
        <f>M812*N812</f>
        <v>50</v>
      </c>
      <c r="P812" s="13">
        <f>$O812*$U$4</f>
        <v>0.75</v>
      </c>
      <c r="Q812" s="13">
        <f>$O812*$U$5</f>
        <v>1</v>
      </c>
      <c r="R812" s="13" cm="1">
        <f t="array" ref="R812">_xlfn.IFS(B812=2023,O812*$U$4,B812=2024,O812*$U$5)</f>
        <v>0.75</v>
      </c>
    </row>
    <row r="813" spans="1:18">
      <c r="A813" s="2">
        <v>812</v>
      </c>
      <c r="B813" s="4">
        <f t="shared" si="61"/>
        <v>2023</v>
      </c>
      <c r="C813" s="4">
        <f t="shared" si="62"/>
        <v>11</v>
      </c>
      <c r="D813" s="4">
        <f t="shared" si="63"/>
        <v>12</v>
      </c>
      <c r="E813" s="4" t="str">
        <f t="shared" si="64"/>
        <v>Sunday</v>
      </c>
      <c r="F813" s="4" t="str">
        <f t="shared" si="65"/>
        <v>November</v>
      </c>
      <c r="G813" s="3">
        <v>45242</v>
      </c>
      <c r="H813" s="4" t="s">
        <v>844</v>
      </c>
      <c r="I813" s="4" t="s">
        <v>19</v>
      </c>
      <c r="J813" s="4" t="str" cm="1">
        <f t="array" ref="J813">_xlfn.IFS(K813&lt;30,"Young Adult",K813&lt;50,"Adult",K813&gt;=50,"Senior")</f>
        <v>Young Adult</v>
      </c>
      <c r="K813" s="4">
        <v>19</v>
      </c>
      <c r="L813" s="4" t="s">
        <v>26</v>
      </c>
      <c r="M813" s="4">
        <v>3</v>
      </c>
      <c r="N813" s="16">
        <v>25</v>
      </c>
      <c r="O813" s="17">
        <f>M813*N813</f>
        <v>75</v>
      </c>
      <c r="P813" s="13">
        <f>$O813*$U$4</f>
        <v>1.125</v>
      </c>
      <c r="Q813" s="13">
        <f>$O813*$U$5</f>
        <v>1.5</v>
      </c>
      <c r="R813" s="13" cm="1">
        <f t="array" ref="R813">_xlfn.IFS(B813=2023,O813*$U$4,B813=2024,O813*$U$5)</f>
        <v>1.125</v>
      </c>
    </row>
    <row r="814" spans="1:18">
      <c r="A814" s="2">
        <v>813</v>
      </c>
      <c r="B814" s="4">
        <f t="shared" si="61"/>
        <v>2023</v>
      </c>
      <c r="C814" s="4">
        <f t="shared" si="62"/>
        <v>10</v>
      </c>
      <c r="D814" s="4">
        <f t="shared" si="63"/>
        <v>3</v>
      </c>
      <c r="E814" s="4" t="str">
        <f t="shared" si="64"/>
        <v>Tuesday</v>
      </c>
      <c r="F814" s="4" t="str">
        <f t="shared" si="65"/>
        <v>October</v>
      </c>
      <c r="G814" s="3">
        <v>45202</v>
      </c>
      <c r="H814" s="4" t="s">
        <v>845</v>
      </c>
      <c r="I814" s="4" t="s">
        <v>19</v>
      </c>
      <c r="J814" s="4" t="str" cm="1">
        <f t="array" ref="J814">_xlfn.IFS(K814&lt;30,"Young Adult",K814&lt;50,"Adult",K814&gt;=50,"Senior")</f>
        <v>Senior</v>
      </c>
      <c r="K814" s="4">
        <v>52</v>
      </c>
      <c r="L814" s="4" t="s">
        <v>26</v>
      </c>
      <c r="M814" s="4">
        <v>3</v>
      </c>
      <c r="N814" s="16">
        <v>50</v>
      </c>
      <c r="O814" s="17">
        <f>M814*N814</f>
        <v>150</v>
      </c>
      <c r="P814" s="13">
        <f>$O814*$U$4</f>
        <v>2.25</v>
      </c>
      <c r="Q814" s="13">
        <f>$O814*$U$5</f>
        <v>3</v>
      </c>
      <c r="R814" s="13" cm="1">
        <f t="array" ref="R814">_xlfn.IFS(B814=2023,O814*$U$4,B814=2024,O814*$U$5)</f>
        <v>2.25</v>
      </c>
    </row>
    <row r="815" spans="1:18">
      <c r="A815" s="2">
        <v>814</v>
      </c>
      <c r="B815" s="4">
        <f t="shared" si="61"/>
        <v>2023</v>
      </c>
      <c r="C815" s="4">
        <f t="shared" si="62"/>
        <v>9</v>
      </c>
      <c r="D815" s="4">
        <f t="shared" si="63"/>
        <v>5</v>
      </c>
      <c r="E815" s="4" t="str">
        <f t="shared" si="64"/>
        <v>Tuesday</v>
      </c>
      <c r="F815" s="4" t="str">
        <f t="shared" si="65"/>
        <v>September</v>
      </c>
      <c r="G815" s="3">
        <v>45174</v>
      </c>
      <c r="H815" s="4" t="s">
        <v>846</v>
      </c>
      <c r="I815" s="4" t="s">
        <v>22</v>
      </c>
      <c r="J815" s="4" t="str" cm="1">
        <f t="array" ref="J815">_xlfn.IFS(K815&lt;30,"Young Adult",K815&lt;50,"Adult",K815&gt;=50,"Senior")</f>
        <v>Senior</v>
      </c>
      <c r="K815" s="4">
        <v>59</v>
      </c>
      <c r="L815" s="4" t="s">
        <v>23</v>
      </c>
      <c r="M815" s="4">
        <v>1</v>
      </c>
      <c r="N815" s="16">
        <v>500</v>
      </c>
      <c r="O815" s="17">
        <f>M815*N815</f>
        <v>500</v>
      </c>
      <c r="P815" s="13">
        <f>$O815*$U$4</f>
        <v>7.5</v>
      </c>
      <c r="Q815" s="13">
        <f>$O815*$U$5</f>
        <v>10</v>
      </c>
      <c r="R815" s="13" cm="1">
        <f t="array" ref="R815">_xlfn.IFS(B815=2023,O815*$U$4,B815=2024,O815*$U$5)</f>
        <v>7.5</v>
      </c>
    </row>
    <row r="816" spans="1:18">
      <c r="A816" s="2">
        <v>815</v>
      </c>
      <c r="B816" s="4">
        <f t="shared" si="61"/>
        <v>2023</v>
      </c>
      <c r="C816" s="4">
        <f t="shared" si="62"/>
        <v>8</v>
      </c>
      <c r="D816" s="4">
        <f t="shared" si="63"/>
        <v>27</v>
      </c>
      <c r="E816" s="4" t="str">
        <f t="shared" si="64"/>
        <v>Sunday</v>
      </c>
      <c r="F816" s="4" t="str">
        <f t="shared" si="65"/>
        <v>August</v>
      </c>
      <c r="G816" s="3">
        <v>45165</v>
      </c>
      <c r="H816" s="4" t="s">
        <v>847</v>
      </c>
      <c r="I816" s="4" t="s">
        <v>22</v>
      </c>
      <c r="J816" s="4" t="str" cm="1">
        <f t="array" ref="J816">_xlfn.IFS(K816&lt;30,"Young Adult",K816&lt;50,"Adult",K816&gt;=50,"Senior")</f>
        <v>Senior</v>
      </c>
      <c r="K816" s="4">
        <v>51</v>
      </c>
      <c r="L816" s="4" t="s">
        <v>23</v>
      </c>
      <c r="M816" s="4">
        <v>3</v>
      </c>
      <c r="N816" s="16">
        <v>25</v>
      </c>
      <c r="O816" s="17">
        <f>M816*N816</f>
        <v>75</v>
      </c>
      <c r="P816" s="13">
        <f>$O816*$U$4</f>
        <v>1.125</v>
      </c>
      <c r="Q816" s="13">
        <f>$O816*$U$5</f>
        <v>1.5</v>
      </c>
      <c r="R816" s="13" cm="1">
        <f t="array" ref="R816">_xlfn.IFS(B816=2023,O816*$U$4,B816=2024,O816*$U$5)</f>
        <v>1.125</v>
      </c>
    </row>
    <row r="817" spans="1:18">
      <c r="A817" s="2">
        <v>816</v>
      </c>
      <c r="B817" s="4">
        <f t="shared" si="61"/>
        <v>2023</v>
      </c>
      <c r="C817" s="4">
        <f t="shared" si="62"/>
        <v>8</v>
      </c>
      <c r="D817" s="4">
        <f t="shared" si="63"/>
        <v>12</v>
      </c>
      <c r="E817" s="4" t="str">
        <f t="shared" si="64"/>
        <v>Saturday</v>
      </c>
      <c r="F817" s="4" t="str">
        <f t="shared" si="65"/>
        <v>August</v>
      </c>
      <c r="G817" s="3">
        <v>45150</v>
      </c>
      <c r="H817" s="4" t="s">
        <v>848</v>
      </c>
      <c r="I817" s="4" t="s">
        <v>19</v>
      </c>
      <c r="J817" s="4" t="str" cm="1">
        <f t="array" ref="J817">_xlfn.IFS(K817&lt;30,"Young Adult",K817&lt;50,"Adult",K817&gt;=50,"Senior")</f>
        <v>Adult</v>
      </c>
      <c r="K817" s="4">
        <v>47</v>
      </c>
      <c r="L817" s="4" t="s">
        <v>20</v>
      </c>
      <c r="M817" s="4">
        <v>2</v>
      </c>
      <c r="N817" s="16">
        <v>500</v>
      </c>
      <c r="O817" s="17">
        <f>M817*N817</f>
        <v>1000</v>
      </c>
      <c r="P817" s="13">
        <f>$O817*$U$4</f>
        <v>15</v>
      </c>
      <c r="Q817" s="13">
        <f>$O817*$U$5</f>
        <v>20</v>
      </c>
      <c r="R817" s="13" cm="1">
        <f t="array" ref="R817">_xlfn.IFS(B817=2023,O817*$U$4,B817=2024,O817*$U$5)</f>
        <v>15</v>
      </c>
    </row>
    <row r="818" spans="1:18">
      <c r="A818" s="2">
        <v>817</v>
      </c>
      <c r="B818" s="4">
        <f t="shared" si="61"/>
        <v>2023</v>
      </c>
      <c r="C818" s="4">
        <f t="shared" si="62"/>
        <v>10</v>
      </c>
      <c r="D818" s="4">
        <f t="shared" si="63"/>
        <v>31</v>
      </c>
      <c r="E818" s="4" t="str">
        <f t="shared" si="64"/>
        <v>Tuesday</v>
      </c>
      <c r="F818" s="4" t="str">
        <f t="shared" si="65"/>
        <v>October</v>
      </c>
      <c r="G818" s="3">
        <v>45230</v>
      </c>
      <c r="H818" s="4" t="s">
        <v>849</v>
      </c>
      <c r="I818" s="4" t="s">
        <v>19</v>
      </c>
      <c r="J818" s="4" t="str" cm="1">
        <f t="array" ref="J818">_xlfn.IFS(K818&lt;30,"Young Adult",K818&lt;50,"Adult",K818&gt;=50,"Senior")</f>
        <v>Adult</v>
      </c>
      <c r="K818" s="4">
        <v>30</v>
      </c>
      <c r="L818" s="4" t="s">
        <v>20</v>
      </c>
      <c r="M818" s="4">
        <v>4</v>
      </c>
      <c r="N818" s="16">
        <v>50</v>
      </c>
      <c r="O818" s="17">
        <f>M818*N818</f>
        <v>200</v>
      </c>
      <c r="P818" s="13">
        <f>$O818*$U$4</f>
        <v>3</v>
      </c>
      <c r="Q818" s="13">
        <f>$O818*$U$5</f>
        <v>4</v>
      </c>
      <c r="R818" s="13" cm="1">
        <f t="array" ref="R818">_xlfn.IFS(B818=2023,O818*$U$4,B818=2024,O818*$U$5)</f>
        <v>3</v>
      </c>
    </row>
    <row r="819" spans="1:18">
      <c r="A819" s="2">
        <v>818</v>
      </c>
      <c r="B819" s="4">
        <f t="shared" si="61"/>
        <v>2023</v>
      </c>
      <c r="C819" s="4">
        <f t="shared" si="62"/>
        <v>5</v>
      </c>
      <c r="D819" s="4">
        <f t="shared" si="63"/>
        <v>18</v>
      </c>
      <c r="E819" s="4" t="str">
        <f t="shared" si="64"/>
        <v>Thursday</v>
      </c>
      <c r="F819" s="4" t="str">
        <f t="shared" si="65"/>
        <v>May</v>
      </c>
      <c r="G819" s="3">
        <v>45064</v>
      </c>
      <c r="H819" s="4" t="s">
        <v>850</v>
      </c>
      <c r="I819" s="4" t="s">
        <v>19</v>
      </c>
      <c r="J819" s="4" t="str" cm="1">
        <f t="array" ref="J819">_xlfn.IFS(K819&lt;30,"Young Adult",K819&lt;50,"Adult",K819&gt;=50,"Senior")</f>
        <v>Adult</v>
      </c>
      <c r="K819" s="4">
        <v>30</v>
      </c>
      <c r="L819" s="4" t="s">
        <v>26</v>
      </c>
      <c r="M819" s="4">
        <v>1</v>
      </c>
      <c r="N819" s="16">
        <v>500</v>
      </c>
      <c r="O819" s="17">
        <f>M819*N819</f>
        <v>500</v>
      </c>
      <c r="P819" s="13">
        <f>$O819*$U$4</f>
        <v>7.5</v>
      </c>
      <c r="Q819" s="13">
        <f>$O819*$U$5</f>
        <v>10</v>
      </c>
      <c r="R819" s="13" cm="1">
        <f t="array" ref="R819">_xlfn.IFS(B819=2023,O819*$U$4,B819=2024,O819*$U$5)</f>
        <v>7.5</v>
      </c>
    </row>
    <row r="820" spans="1:18">
      <c r="A820" s="2">
        <v>819</v>
      </c>
      <c r="B820" s="4">
        <f t="shared" si="61"/>
        <v>2023</v>
      </c>
      <c r="C820" s="4">
        <f t="shared" si="62"/>
        <v>6</v>
      </c>
      <c r="D820" s="4">
        <f t="shared" si="63"/>
        <v>15</v>
      </c>
      <c r="E820" s="4" t="str">
        <f t="shared" si="64"/>
        <v>Thursday</v>
      </c>
      <c r="F820" s="4" t="str">
        <f t="shared" si="65"/>
        <v>June</v>
      </c>
      <c r="G820" s="3">
        <v>45092</v>
      </c>
      <c r="H820" s="4" t="s">
        <v>851</v>
      </c>
      <c r="I820" s="4" t="s">
        <v>22</v>
      </c>
      <c r="J820" s="4" t="str" cm="1">
        <f t="array" ref="J820">_xlfn.IFS(K820&lt;30,"Young Adult",K820&lt;50,"Adult",K820&gt;=50,"Senior")</f>
        <v>Adult</v>
      </c>
      <c r="K820" s="4">
        <v>35</v>
      </c>
      <c r="L820" s="4" t="s">
        <v>20</v>
      </c>
      <c r="M820" s="4">
        <v>2</v>
      </c>
      <c r="N820" s="16">
        <v>50</v>
      </c>
      <c r="O820" s="17">
        <f>M820*N820</f>
        <v>100</v>
      </c>
      <c r="P820" s="13">
        <f>$O820*$U$4</f>
        <v>1.5</v>
      </c>
      <c r="Q820" s="13">
        <f>$O820*$U$5</f>
        <v>2</v>
      </c>
      <c r="R820" s="13" cm="1">
        <f t="array" ref="R820">_xlfn.IFS(B820=2023,O820*$U$4,B820=2024,O820*$U$5)</f>
        <v>1.5</v>
      </c>
    </row>
    <row r="821" spans="1:18">
      <c r="A821" s="2">
        <v>820</v>
      </c>
      <c r="B821" s="4">
        <f t="shared" si="61"/>
        <v>2023</v>
      </c>
      <c r="C821" s="4">
        <f t="shared" si="62"/>
        <v>5</v>
      </c>
      <c r="D821" s="4">
        <f t="shared" si="63"/>
        <v>6</v>
      </c>
      <c r="E821" s="4" t="str">
        <f t="shared" si="64"/>
        <v>Saturday</v>
      </c>
      <c r="F821" s="4" t="str">
        <f t="shared" si="65"/>
        <v>May</v>
      </c>
      <c r="G821" s="3">
        <v>45052</v>
      </c>
      <c r="H821" s="4" t="s">
        <v>852</v>
      </c>
      <c r="I821" s="4" t="s">
        <v>19</v>
      </c>
      <c r="J821" s="4" t="str" cm="1">
        <f t="array" ref="J821">_xlfn.IFS(K821&lt;30,"Young Adult",K821&lt;50,"Adult",K821&gt;=50,"Senior")</f>
        <v>Adult</v>
      </c>
      <c r="K821" s="4">
        <v>49</v>
      </c>
      <c r="L821" s="4" t="s">
        <v>26</v>
      </c>
      <c r="M821" s="4">
        <v>4</v>
      </c>
      <c r="N821" s="16">
        <v>50</v>
      </c>
      <c r="O821" s="17">
        <f>M821*N821</f>
        <v>200</v>
      </c>
      <c r="P821" s="13">
        <f>$O821*$U$4</f>
        <v>3</v>
      </c>
      <c r="Q821" s="13">
        <f>$O821*$U$5</f>
        <v>4</v>
      </c>
      <c r="R821" s="13" cm="1">
        <f t="array" ref="R821">_xlfn.IFS(B821=2023,O821*$U$4,B821=2024,O821*$U$5)</f>
        <v>3</v>
      </c>
    </row>
    <row r="822" spans="1:18">
      <c r="A822" s="2">
        <v>821</v>
      </c>
      <c r="B822" s="4">
        <f t="shared" si="61"/>
        <v>2023</v>
      </c>
      <c r="C822" s="4">
        <f t="shared" si="62"/>
        <v>2</v>
      </c>
      <c r="D822" s="4">
        <f t="shared" si="63"/>
        <v>14</v>
      </c>
      <c r="E822" s="4" t="str">
        <f t="shared" si="64"/>
        <v>Tuesday</v>
      </c>
      <c r="F822" s="4" t="str">
        <f t="shared" si="65"/>
        <v>February</v>
      </c>
      <c r="G822" s="3">
        <v>44971</v>
      </c>
      <c r="H822" s="4" t="s">
        <v>853</v>
      </c>
      <c r="I822" s="4" t="s">
        <v>19</v>
      </c>
      <c r="J822" s="4" t="str" cm="1">
        <f t="array" ref="J822">_xlfn.IFS(K822&lt;30,"Young Adult",K822&lt;50,"Adult",K822&gt;=50,"Senior")</f>
        <v>Adult</v>
      </c>
      <c r="K822" s="4">
        <v>49</v>
      </c>
      <c r="L822" s="4" t="s">
        <v>26</v>
      </c>
      <c r="M822" s="4">
        <v>1</v>
      </c>
      <c r="N822" s="16">
        <v>300</v>
      </c>
      <c r="O822" s="17">
        <f>M822*N822</f>
        <v>300</v>
      </c>
      <c r="P822" s="13">
        <f>$O822*$U$4</f>
        <v>4.5</v>
      </c>
      <c r="Q822" s="13">
        <f>$O822*$U$5</f>
        <v>6</v>
      </c>
      <c r="R822" s="13" cm="1">
        <f t="array" ref="R822">_xlfn.IFS(B822=2023,O822*$U$4,B822=2024,O822*$U$5)</f>
        <v>4.5</v>
      </c>
    </row>
    <row r="823" spans="1:18">
      <c r="A823" s="2">
        <v>822</v>
      </c>
      <c r="B823" s="4">
        <f t="shared" si="61"/>
        <v>2023</v>
      </c>
      <c r="C823" s="4">
        <f t="shared" si="62"/>
        <v>5</v>
      </c>
      <c r="D823" s="4">
        <f t="shared" si="63"/>
        <v>23</v>
      </c>
      <c r="E823" s="4" t="str">
        <f t="shared" si="64"/>
        <v>Tuesday</v>
      </c>
      <c r="F823" s="4" t="str">
        <f t="shared" si="65"/>
        <v>May</v>
      </c>
      <c r="G823" s="3">
        <v>45069</v>
      </c>
      <c r="H823" s="4" t="s">
        <v>854</v>
      </c>
      <c r="I823" s="4" t="s">
        <v>22</v>
      </c>
      <c r="J823" s="4" t="str" cm="1">
        <f t="array" ref="J823">_xlfn.IFS(K823&lt;30,"Young Adult",K823&lt;50,"Adult",K823&gt;=50,"Senior")</f>
        <v>Senior</v>
      </c>
      <c r="K823" s="4">
        <v>52</v>
      </c>
      <c r="L823" s="4" t="s">
        <v>20</v>
      </c>
      <c r="M823" s="4">
        <v>3</v>
      </c>
      <c r="N823" s="16">
        <v>50</v>
      </c>
      <c r="O823" s="17">
        <f>M823*N823</f>
        <v>150</v>
      </c>
      <c r="P823" s="13">
        <f>$O823*$U$4</f>
        <v>2.25</v>
      </c>
      <c r="Q823" s="13">
        <f>$O823*$U$5</f>
        <v>3</v>
      </c>
      <c r="R823" s="13" cm="1">
        <f t="array" ref="R823">_xlfn.IFS(B823=2023,O823*$U$4,B823=2024,O823*$U$5)</f>
        <v>2.25</v>
      </c>
    </row>
    <row r="824" spans="1:18">
      <c r="A824" s="2">
        <v>823</v>
      </c>
      <c r="B824" s="4">
        <f t="shared" si="61"/>
        <v>2023</v>
      </c>
      <c r="C824" s="4">
        <f t="shared" si="62"/>
        <v>8</v>
      </c>
      <c r="D824" s="4">
        <f t="shared" si="63"/>
        <v>19</v>
      </c>
      <c r="E824" s="4" t="str">
        <f t="shared" si="64"/>
        <v>Saturday</v>
      </c>
      <c r="F824" s="4" t="str">
        <f t="shared" si="65"/>
        <v>August</v>
      </c>
      <c r="G824" s="3">
        <v>45157</v>
      </c>
      <c r="H824" s="4" t="s">
        <v>855</v>
      </c>
      <c r="I824" s="4" t="s">
        <v>22</v>
      </c>
      <c r="J824" s="4" t="str" cm="1">
        <f t="array" ref="J824">_xlfn.IFS(K824&lt;30,"Young Adult",K824&lt;50,"Adult",K824&gt;=50,"Senior")</f>
        <v>Senior</v>
      </c>
      <c r="K824" s="4">
        <v>56</v>
      </c>
      <c r="L824" s="4" t="s">
        <v>26</v>
      </c>
      <c r="M824" s="4">
        <v>2</v>
      </c>
      <c r="N824" s="16">
        <v>50</v>
      </c>
      <c r="O824" s="17">
        <f>M824*N824</f>
        <v>100</v>
      </c>
      <c r="P824" s="13">
        <f>$O824*$U$4</f>
        <v>1.5</v>
      </c>
      <c r="Q824" s="13">
        <f>$O824*$U$5</f>
        <v>2</v>
      </c>
      <c r="R824" s="13" cm="1">
        <f t="array" ref="R824">_xlfn.IFS(B824=2023,O824*$U$4,B824=2024,O824*$U$5)</f>
        <v>1.5</v>
      </c>
    </row>
    <row r="825" spans="1:18">
      <c r="A825" s="2">
        <v>824</v>
      </c>
      <c r="B825" s="4">
        <f t="shared" si="61"/>
        <v>2023</v>
      </c>
      <c r="C825" s="4">
        <f t="shared" si="62"/>
        <v>5</v>
      </c>
      <c r="D825" s="4">
        <f t="shared" si="63"/>
        <v>5</v>
      </c>
      <c r="E825" s="4" t="str">
        <f t="shared" si="64"/>
        <v>Friday</v>
      </c>
      <c r="F825" s="4" t="str">
        <f t="shared" si="65"/>
        <v>May</v>
      </c>
      <c r="G825" s="3">
        <v>45051</v>
      </c>
      <c r="H825" s="4" t="s">
        <v>856</v>
      </c>
      <c r="I825" s="4" t="s">
        <v>19</v>
      </c>
      <c r="J825" s="4" t="str" cm="1">
        <f t="array" ref="J825">_xlfn.IFS(K825&lt;30,"Young Adult",K825&lt;50,"Adult",K825&gt;=50,"Senior")</f>
        <v>Senior</v>
      </c>
      <c r="K825" s="4">
        <v>63</v>
      </c>
      <c r="L825" s="4" t="s">
        <v>23</v>
      </c>
      <c r="M825" s="4">
        <v>4</v>
      </c>
      <c r="N825" s="16">
        <v>30</v>
      </c>
      <c r="O825" s="17">
        <f>M825*N825</f>
        <v>120</v>
      </c>
      <c r="P825" s="13">
        <f>$O825*$U$4</f>
        <v>1.7999999999999998</v>
      </c>
      <c r="Q825" s="13">
        <f>$O825*$U$5</f>
        <v>2.4</v>
      </c>
      <c r="R825" s="13" cm="1">
        <f t="array" ref="R825">_xlfn.IFS(B825=2023,O825*$U$4,B825=2024,O825*$U$5)</f>
        <v>1.7999999999999998</v>
      </c>
    </row>
    <row r="826" spans="1:18">
      <c r="A826" s="2">
        <v>825</v>
      </c>
      <c r="B826" s="4">
        <f t="shared" si="61"/>
        <v>2023</v>
      </c>
      <c r="C826" s="4">
        <f t="shared" si="62"/>
        <v>8</v>
      </c>
      <c r="D826" s="4">
        <f t="shared" si="63"/>
        <v>26</v>
      </c>
      <c r="E826" s="4" t="str">
        <f t="shared" si="64"/>
        <v>Saturday</v>
      </c>
      <c r="F826" s="4" t="str">
        <f t="shared" si="65"/>
        <v>August</v>
      </c>
      <c r="G826" s="3">
        <v>45164</v>
      </c>
      <c r="H826" s="4" t="s">
        <v>857</v>
      </c>
      <c r="I826" s="4" t="s">
        <v>22</v>
      </c>
      <c r="J826" s="4" t="str" cm="1">
        <f t="array" ref="J826">_xlfn.IFS(K826&lt;30,"Young Adult",K826&lt;50,"Adult",K826&gt;=50,"Senior")</f>
        <v>Adult</v>
      </c>
      <c r="K826" s="4">
        <v>46</v>
      </c>
      <c r="L826" s="4" t="s">
        <v>20</v>
      </c>
      <c r="M826" s="4">
        <v>1</v>
      </c>
      <c r="N826" s="16">
        <v>25</v>
      </c>
      <c r="O826" s="17">
        <f>M826*N826</f>
        <v>25</v>
      </c>
      <c r="P826" s="13">
        <f>$O826*$U$4</f>
        <v>0.375</v>
      </c>
      <c r="Q826" s="13">
        <f>$O826*$U$5</f>
        <v>0.5</v>
      </c>
      <c r="R826" s="13" cm="1">
        <f t="array" ref="R826">_xlfn.IFS(B826=2023,O826*$U$4,B826=2024,O826*$U$5)</f>
        <v>0.375</v>
      </c>
    </row>
    <row r="827" spans="1:18">
      <c r="A827" s="2">
        <v>826</v>
      </c>
      <c r="B827" s="4">
        <f t="shared" si="61"/>
        <v>2023</v>
      </c>
      <c r="C827" s="4">
        <f t="shared" si="62"/>
        <v>10</v>
      </c>
      <c r="D827" s="4">
        <f t="shared" si="63"/>
        <v>19</v>
      </c>
      <c r="E827" s="4" t="str">
        <f t="shared" si="64"/>
        <v>Thursday</v>
      </c>
      <c r="F827" s="4" t="str">
        <f t="shared" si="65"/>
        <v>October</v>
      </c>
      <c r="G827" s="3">
        <v>45218</v>
      </c>
      <c r="H827" s="4" t="s">
        <v>858</v>
      </c>
      <c r="I827" s="4" t="s">
        <v>22</v>
      </c>
      <c r="J827" s="4" t="str" cm="1">
        <f t="array" ref="J827">_xlfn.IFS(K827&lt;30,"Young Adult",K827&lt;50,"Adult",K827&gt;=50,"Senior")</f>
        <v>Adult</v>
      </c>
      <c r="K827" s="4">
        <v>46</v>
      </c>
      <c r="L827" s="4" t="s">
        <v>23</v>
      </c>
      <c r="M827" s="4">
        <v>1</v>
      </c>
      <c r="N827" s="16">
        <v>300</v>
      </c>
      <c r="O827" s="17">
        <f>M827*N827</f>
        <v>300</v>
      </c>
      <c r="P827" s="13">
        <f>$O827*$U$4</f>
        <v>4.5</v>
      </c>
      <c r="Q827" s="13">
        <f>$O827*$U$5</f>
        <v>6</v>
      </c>
      <c r="R827" s="13" cm="1">
        <f t="array" ref="R827">_xlfn.IFS(B827=2023,O827*$U$4,B827=2024,O827*$U$5)</f>
        <v>4.5</v>
      </c>
    </row>
    <row r="828" spans="1:18">
      <c r="A828" s="2">
        <v>827</v>
      </c>
      <c r="B828" s="4">
        <f t="shared" si="61"/>
        <v>2023</v>
      </c>
      <c r="C828" s="4">
        <f t="shared" si="62"/>
        <v>11</v>
      </c>
      <c r="D828" s="4">
        <f t="shared" si="63"/>
        <v>9</v>
      </c>
      <c r="E828" s="4" t="str">
        <f t="shared" si="64"/>
        <v>Thursday</v>
      </c>
      <c r="F828" s="4" t="str">
        <f t="shared" si="65"/>
        <v>November</v>
      </c>
      <c r="G828" s="3">
        <v>45239</v>
      </c>
      <c r="H828" s="4" t="s">
        <v>859</v>
      </c>
      <c r="I828" s="4" t="s">
        <v>19</v>
      </c>
      <c r="J828" s="4" t="str" cm="1">
        <f t="array" ref="J828">_xlfn.IFS(K828&lt;30,"Young Adult",K828&lt;50,"Adult",K828&gt;=50,"Senior")</f>
        <v>Senior</v>
      </c>
      <c r="K828" s="4">
        <v>61</v>
      </c>
      <c r="L828" s="4" t="s">
        <v>20</v>
      </c>
      <c r="M828" s="4">
        <v>3</v>
      </c>
      <c r="N828" s="16">
        <v>300</v>
      </c>
      <c r="O828" s="17">
        <f>M828*N828</f>
        <v>900</v>
      </c>
      <c r="P828" s="13">
        <f>$O828*$U$4</f>
        <v>13.5</v>
      </c>
      <c r="Q828" s="13">
        <f>$O828*$U$5</f>
        <v>18</v>
      </c>
      <c r="R828" s="13" cm="1">
        <f t="array" ref="R828">_xlfn.IFS(B828=2023,O828*$U$4,B828=2024,O828*$U$5)</f>
        <v>13.5</v>
      </c>
    </row>
    <row r="829" spans="1:18">
      <c r="A829" s="2">
        <v>828</v>
      </c>
      <c r="B829" s="4">
        <f t="shared" si="61"/>
        <v>2023</v>
      </c>
      <c r="C829" s="4">
        <f t="shared" si="62"/>
        <v>12</v>
      </c>
      <c r="D829" s="4">
        <f t="shared" si="63"/>
        <v>9</v>
      </c>
      <c r="E829" s="4" t="str">
        <f t="shared" si="64"/>
        <v>Saturday</v>
      </c>
      <c r="F829" s="4" t="str">
        <f t="shared" si="65"/>
        <v>December</v>
      </c>
      <c r="G829" s="3">
        <v>45269</v>
      </c>
      <c r="H829" s="4" t="s">
        <v>860</v>
      </c>
      <c r="I829" s="4" t="s">
        <v>22</v>
      </c>
      <c r="J829" s="4" t="str" cm="1">
        <f t="array" ref="J829">_xlfn.IFS(K829&lt;30,"Young Adult",K829&lt;50,"Adult",K829&gt;=50,"Senior")</f>
        <v>Adult</v>
      </c>
      <c r="K829" s="4">
        <v>33</v>
      </c>
      <c r="L829" s="4" t="s">
        <v>26</v>
      </c>
      <c r="M829" s="4">
        <v>4</v>
      </c>
      <c r="N829" s="16">
        <v>300</v>
      </c>
      <c r="O829" s="17">
        <f>M829*N829</f>
        <v>1200</v>
      </c>
      <c r="P829" s="13">
        <f>$O829*$U$4</f>
        <v>18</v>
      </c>
      <c r="Q829" s="13">
        <f>$O829*$U$5</f>
        <v>24</v>
      </c>
      <c r="R829" s="13" cm="1">
        <f t="array" ref="R829">_xlfn.IFS(B829=2023,O829*$U$4,B829=2024,O829*$U$5)</f>
        <v>18</v>
      </c>
    </row>
    <row r="830" spans="1:18">
      <c r="A830" s="2">
        <v>829</v>
      </c>
      <c r="B830" s="4">
        <f t="shared" si="61"/>
        <v>2023</v>
      </c>
      <c r="C830" s="4">
        <f t="shared" si="62"/>
        <v>7</v>
      </c>
      <c r="D830" s="4">
        <f t="shared" si="63"/>
        <v>14</v>
      </c>
      <c r="E830" s="4" t="str">
        <f t="shared" si="64"/>
        <v>Friday</v>
      </c>
      <c r="F830" s="4" t="str">
        <f t="shared" si="65"/>
        <v>July</v>
      </c>
      <c r="G830" s="3">
        <v>45121</v>
      </c>
      <c r="H830" s="4" t="s">
        <v>861</v>
      </c>
      <c r="I830" s="4" t="s">
        <v>19</v>
      </c>
      <c r="J830" s="4" t="str" cm="1">
        <f t="array" ref="J830">_xlfn.IFS(K830&lt;30,"Young Adult",K830&lt;50,"Adult",K830&gt;=50,"Senior")</f>
        <v>Senior</v>
      </c>
      <c r="K830" s="4">
        <v>61</v>
      </c>
      <c r="L830" s="4" t="s">
        <v>20</v>
      </c>
      <c r="M830" s="4">
        <v>3</v>
      </c>
      <c r="N830" s="16">
        <v>30</v>
      </c>
      <c r="O830" s="17">
        <f>M830*N830</f>
        <v>90</v>
      </c>
      <c r="P830" s="13">
        <f>$O830*$U$4</f>
        <v>1.3499999999999999</v>
      </c>
      <c r="Q830" s="13">
        <f>$O830*$U$5</f>
        <v>1.8</v>
      </c>
      <c r="R830" s="13" cm="1">
        <f t="array" ref="R830">_xlfn.IFS(B830=2023,O830*$U$4,B830=2024,O830*$U$5)</f>
        <v>1.3499999999999999</v>
      </c>
    </row>
    <row r="831" spans="1:18">
      <c r="A831" s="2">
        <v>830</v>
      </c>
      <c r="B831" s="4">
        <f t="shared" si="61"/>
        <v>2023</v>
      </c>
      <c r="C831" s="4">
        <f t="shared" si="62"/>
        <v>6</v>
      </c>
      <c r="D831" s="4">
        <f t="shared" si="63"/>
        <v>22</v>
      </c>
      <c r="E831" s="4" t="str">
        <f t="shared" si="64"/>
        <v>Thursday</v>
      </c>
      <c r="F831" s="4" t="str">
        <f t="shared" si="65"/>
        <v>June</v>
      </c>
      <c r="G831" s="3">
        <v>45099</v>
      </c>
      <c r="H831" s="4" t="s">
        <v>862</v>
      </c>
      <c r="I831" s="4" t="s">
        <v>22</v>
      </c>
      <c r="J831" s="4" t="str" cm="1">
        <f t="array" ref="J831">_xlfn.IFS(K831&lt;30,"Young Adult",K831&lt;50,"Adult",K831&gt;=50,"Senior")</f>
        <v>Senior</v>
      </c>
      <c r="K831" s="4">
        <v>64</v>
      </c>
      <c r="L831" s="4" t="s">
        <v>23</v>
      </c>
      <c r="M831" s="4">
        <v>3</v>
      </c>
      <c r="N831" s="16">
        <v>50</v>
      </c>
      <c r="O831" s="17">
        <f>M831*N831</f>
        <v>150</v>
      </c>
      <c r="P831" s="13">
        <f>$O831*$U$4</f>
        <v>2.25</v>
      </c>
      <c r="Q831" s="13">
        <f>$O831*$U$5</f>
        <v>3</v>
      </c>
      <c r="R831" s="13" cm="1">
        <f t="array" ref="R831">_xlfn.IFS(B831=2023,O831*$U$4,B831=2024,O831*$U$5)</f>
        <v>2.25</v>
      </c>
    </row>
    <row r="832" spans="1:18">
      <c r="A832" s="2">
        <v>831</v>
      </c>
      <c r="B832" s="4">
        <f t="shared" si="61"/>
        <v>2023</v>
      </c>
      <c r="C832" s="4">
        <f t="shared" si="62"/>
        <v>1</v>
      </c>
      <c r="D832" s="4">
        <f t="shared" si="63"/>
        <v>15</v>
      </c>
      <c r="E832" s="4" t="str">
        <f t="shared" si="64"/>
        <v>Sunday</v>
      </c>
      <c r="F832" s="4" t="str">
        <f t="shared" si="65"/>
        <v>January</v>
      </c>
      <c r="G832" s="3">
        <v>44941</v>
      </c>
      <c r="H832" s="4" t="s">
        <v>863</v>
      </c>
      <c r="I832" s="4" t="s">
        <v>19</v>
      </c>
      <c r="J832" s="4" t="str" cm="1">
        <f t="array" ref="J832">_xlfn.IFS(K832&lt;30,"Young Adult",K832&lt;50,"Adult",K832&gt;=50,"Senior")</f>
        <v>Young Adult</v>
      </c>
      <c r="K832" s="4">
        <v>27</v>
      </c>
      <c r="L832" s="4" t="s">
        <v>26</v>
      </c>
      <c r="M832" s="4">
        <v>4</v>
      </c>
      <c r="N832" s="16">
        <v>25</v>
      </c>
      <c r="O832" s="17">
        <f>M832*N832</f>
        <v>100</v>
      </c>
      <c r="P832" s="13">
        <f>$O832*$U$4</f>
        <v>1.5</v>
      </c>
      <c r="Q832" s="13">
        <f>$O832*$U$5</f>
        <v>2</v>
      </c>
      <c r="R832" s="13" cm="1">
        <f t="array" ref="R832">_xlfn.IFS(B832=2023,O832*$U$4,B832=2024,O832*$U$5)</f>
        <v>1.5</v>
      </c>
    </row>
    <row r="833" spans="1:18">
      <c r="A833" s="2">
        <v>832</v>
      </c>
      <c r="B833" s="4">
        <f t="shared" si="61"/>
        <v>2023</v>
      </c>
      <c r="C833" s="4">
        <f t="shared" si="62"/>
        <v>9</v>
      </c>
      <c r="D833" s="4">
        <f t="shared" si="63"/>
        <v>11</v>
      </c>
      <c r="E833" s="4" t="str">
        <f t="shared" si="64"/>
        <v>Monday</v>
      </c>
      <c r="F833" s="4" t="str">
        <f t="shared" si="65"/>
        <v>September</v>
      </c>
      <c r="G833" s="3">
        <v>45180</v>
      </c>
      <c r="H833" s="4" t="s">
        <v>864</v>
      </c>
      <c r="I833" s="4" t="s">
        <v>19</v>
      </c>
      <c r="J833" s="4" t="str" cm="1">
        <f t="array" ref="J833">_xlfn.IFS(K833&lt;30,"Young Adult",K833&lt;50,"Adult",K833&gt;=50,"Senior")</f>
        <v>Adult</v>
      </c>
      <c r="K833" s="4">
        <v>47</v>
      </c>
      <c r="L833" s="4" t="s">
        <v>20</v>
      </c>
      <c r="M833" s="4">
        <v>4</v>
      </c>
      <c r="N833" s="16">
        <v>500</v>
      </c>
      <c r="O833" s="17">
        <f>M833*N833</f>
        <v>2000</v>
      </c>
      <c r="P833" s="13">
        <f>$O833*$U$4</f>
        <v>30</v>
      </c>
      <c r="Q833" s="13">
        <f>$O833*$U$5</f>
        <v>40</v>
      </c>
      <c r="R833" s="13" cm="1">
        <f t="array" ref="R833">_xlfn.IFS(B833=2023,O833*$U$4,B833=2024,O833*$U$5)</f>
        <v>30</v>
      </c>
    </row>
    <row r="834" spans="1:18">
      <c r="A834" s="2">
        <v>833</v>
      </c>
      <c r="B834" s="4">
        <f t="shared" si="61"/>
        <v>2023</v>
      </c>
      <c r="C834" s="4">
        <f t="shared" si="62"/>
        <v>6</v>
      </c>
      <c r="D834" s="4">
        <f t="shared" si="63"/>
        <v>16</v>
      </c>
      <c r="E834" s="4" t="str">
        <f t="shared" si="64"/>
        <v>Friday</v>
      </c>
      <c r="F834" s="4" t="str">
        <f t="shared" si="65"/>
        <v>June</v>
      </c>
      <c r="G834" s="3">
        <v>45093</v>
      </c>
      <c r="H834" s="4" t="s">
        <v>865</v>
      </c>
      <c r="I834" s="4" t="s">
        <v>19</v>
      </c>
      <c r="J834" s="4" t="str" cm="1">
        <f t="array" ref="J834">_xlfn.IFS(K834&lt;30,"Young Adult",K834&lt;50,"Adult",K834&gt;=50,"Senior")</f>
        <v>Adult</v>
      </c>
      <c r="K834" s="4">
        <v>42</v>
      </c>
      <c r="L834" s="4" t="s">
        <v>20</v>
      </c>
      <c r="M834" s="4">
        <v>4</v>
      </c>
      <c r="N834" s="16">
        <v>50</v>
      </c>
      <c r="O834" s="17">
        <f>M834*N834</f>
        <v>200</v>
      </c>
      <c r="P834" s="13">
        <f>$O834*$U$4</f>
        <v>3</v>
      </c>
      <c r="Q834" s="13">
        <f>$O834*$U$5</f>
        <v>4</v>
      </c>
      <c r="R834" s="13" cm="1">
        <f t="array" ref="R834">_xlfn.IFS(B834=2023,O834*$U$4,B834=2024,O834*$U$5)</f>
        <v>3</v>
      </c>
    </row>
    <row r="835" spans="1:18">
      <c r="A835" s="2">
        <v>834</v>
      </c>
      <c r="B835" s="4">
        <f t="shared" ref="B835:B898" si="66">YEAR(G835)</f>
        <v>2023</v>
      </c>
      <c r="C835" s="4">
        <f t="shared" ref="C835:C898" si="67">MONTH(G835)</f>
        <v>4</v>
      </c>
      <c r="D835" s="4">
        <f t="shared" ref="D835:D898" si="68">DAY(G835)</f>
        <v>4</v>
      </c>
      <c r="E835" s="4" t="str">
        <f t="shared" ref="E835:E898" si="69">TEXT(G835,"dddd")</f>
        <v>Tuesday</v>
      </c>
      <c r="F835" s="4" t="str">
        <f t="shared" ref="F835:F898" si="70">TEXT(G835,"mmmm")</f>
        <v>April</v>
      </c>
      <c r="G835" s="3">
        <v>45020</v>
      </c>
      <c r="H835" s="4" t="s">
        <v>866</v>
      </c>
      <c r="I835" s="4" t="s">
        <v>22</v>
      </c>
      <c r="J835" s="4" t="str" cm="1">
        <f t="array" ref="J835">_xlfn.IFS(K835&lt;30,"Young Adult",K835&lt;50,"Adult",K835&gt;=50,"Senior")</f>
        <v>Senior</v>
      </c>
      <c r="K835" s="4">
        <v>56</v>
      </c>
      <c r="L835" s="4" t="s">
        <v>20</v>
      </c>
      <c r="M835" s="4">
        <v>2</v>
      </c>
      <c r="N835" s="16">
        <v>30</v>
      </c>
      <c r="O835" s="17">
        <f>M835*N835</f>
        <v>60</v>
      </c>
      <c r="P835" s="13">
        <f>$O835*$U$4</f>
        <v>0.89999999999999991</v>
      </c>
      <c r="Q835" s="13">
        <f>$O835*$U$5</f>
        <v>1.2</v>
      </c>
      <c r="R835" s="13" cm="1">
        <f t="array" ref="R835">_xlfn.IFS(B835=2023,O835*$U$4,B835=2024,O835*$U$5)</f>
        <v>0.89999999999999991</v>
      </c>
    </row>
    <row r="836" spans="1:18">
      <c r="A836" s="2">
        <v>835</v>
      </c>
      <c r="B836" s="4">
        <f t="shared" si="66"/>
        <v>2023</v>
      </c>
      <c r="C836" s="4">
        <f t="shared" si="67"/>
        <v>9</v>
      </c>
      <c r="D836" s="4">
        <f t="shared" si="68"/>
        <v>7</v>
      </c>
      <c r="E836" s="4" t="str">
        <f t="shared" si="69"/>
        <v>Thursday</v>
      </c>
      <c r="F836" s="4" t="str">
        <f t="shared" si="70"/>
        <v>September</v>
      </c>
      <c r="G836" s="3">
        <v>45176</v>
      </c>
      <c r="H836" s="4" t="s">
        <v>867</v>
      </c>
      <c r="I836" s="4" t="s">
        <v>19</v>
      </c>
      <c r="J836" s="4" t="str" cm="1">
        <f t="array" ref="J836">_xlfn.IFS(K836&lt;30,"Young Adult",K836&lt;50,"Adult",K836&gt;=50,"Senior")</f>
        <v>Adult</v>
      </c>
      <c r="K836" s="4">
        <v>37</v>
      </c>
      <c r="L836" s="4" t="s">
        <v>23</v>
      </c>
      <c r="M836" s="4">
        <v>4</v>
      </c>
      <c r="N836" s="16">
        <v>50</v>
      </c>
      <c r="O836" s="17">
        <f>M836*N836</f>
        <v>200</v>
      </c>
      <c r="P836" s="13">
        <f>$O836*$U$4</f>
        <v>3</v>
      </c>
      <c r="Q836" s="13">
        <f>$O836*$U$5</f>
        <v>4</v>
      </c>
      <c r="R836" s="13" cm="1">
        <f t="array" ref="R836">_xlfn.IFS(B836=2023,O836*$U$4,B836=2024,O836*$U$5)</f>
        <v>3</v>
      </c>
    </row>
    <row r="837" spans="1:18">
      <c r="A837" s="2">
        <v>836</v>
      </c>
      <c r="B837" s="4">
        <f t="shared" si="66"/>
        <v>2023</v>
      </c>
      <c r="C837" s="4">
        <f t="shared" si="67"/>
        <v>4</v>
      </c>
      <c r="D837" s="4">
        <f t="shared" si="68"/>
        <v>19</v>
      </c>
      <c r="E837" s="4" t="str">
        <f t="shared" si="69"/>
        <v>Wednesday</v>
      </c>
      <c r="F837" s="4" t="str">
        <f t="shared" si="70"/>
        <v>April</v>
      </c>
      <c r="G837" s="3">
        <v>45035</v>
      </c>
      <c r="H837" s="4" t="s">
        <v>868</v>
      </c>
      <c r="I837" s="4" t="s">
        <v>22</v>
      </c>
      <c r="J837" s="4" t="str" cm="1">
        <f t="array" ref="J837">_xlfn.IFS(K837&lt;30,"Young Adult",K837&lt;50,"Adult",K837&gt;=50,"Senior")</f>
        <v>Young Adult</v>
      </c>
      <c r="K837" s="4">
        <v>22</v>
      </c>
      <c r="L837" s="4" t="s">
        <v>23</v>
      </c>
      <c r="M837" s="4">
        <v>1</v>
      </c>
      <c r="N837" s="16">
        <v>50</v>
      </c>
      <c r="O837" s="17">
        <f>M837*N837</f>
        <v>50</v>
      </c>
      <c r="P837" s="13">
        <f>$O837*$U$4</f>
        <v>0.75</v>
      </c>
      <c r="Q837" s="13">
        <f>$O837*$U$5</f>
        <v>1</v>
      </c>
      <c r="R837" s="13" cm="1">
        <f t="array" ref="R837">_xlfn.IFS(B837=2023,O837*$U$4,B837=2024,O837*$U$5)</f>
        <v>0.75</v>
      </c>
    </row>
    <row r="838" spans="1:18">
      <c r="A838" s="2">
        <v>837</v>
      </c>
      <c r="B838" s="4">
        <f t="shared" si="66"/>
        <v>2023</v>
      </c>
      <c r="C838" s="4">
        <f t="shared" si="67"/>
        <v>7</v>
      </c>
      <c r="D838" s="4">
        <f t="shared" si="68"/>
        <v>1</v>
      </c>
      <c r="E838" s="4" t="str">
        <f t="shared" si="69"/>
        <v>Saturday</v>
      </c>
      <c r="F838" s="4" t="str">
        <f t="shared" si="70"/>
        <v>July</v>
      </c>
      <c r="G838" s="3">
        <v>45108</v>
      </c>
      <c r="H838" s="4" t="s">
        <v>869</v>
      </c>
      <c r="I838" s="4" t="s">
        <v>19</v>
      </c>
      <c r="J838" s="4" t="str" cm="1">
        <f t="array" ref="J838">_xlfn.IFS(K838&lt;30,"Young Adult",K838&lt;50,"Adult",K838&gt;=50,"Senior")</f>
        <v>Young Adult</v>
      </c>
      <c r="K838" s="4">
        <v>18</v>
      </c>
      <c r="L838" s="4" t="s">
        <v>20</v>
      </c>
      <c r="M838" s="4">
        <v>3</v>
      </c>
      <c r="N838" s="16">
        <v>30</v>
      </c>
      <c r="O838" s="17">
        <f>M838*N838</f>
        <v>90</v>
      </c>
      <c r="P838" s="13">
        <f>$O838*$U$4</f>
        <v>1.3499999999999999</v>
      </c>
      <c r="Q838" s="13">
        <f>$O838*$U$5</f>
        <v>1.8</v>
      </c>
      <c r="R838" s="13" cm="1">
        <f t="array" ref="R838">_xlfn.IFS(B838=2023,O838*$U$4,B838=2024,O838*$U$5)</f>
        <v>1.3499999999999999</v>
      </c>
    </row>
    <row r="839" spans="1:18">
      <c r="A839" s="2">
        <v>838</v>
      </c>
      <c r="B839" s="4">
        <f t="shared" si="66"/>
        <v>2023</v>
      </c>
      <c r="C839" s="4">
        <f t="shared" si="67"/>
        <v>5</v>
      </c>
      <c r="D839" s="4">
        <f t="shared" si="68"/>
        <v>13</v>
      </c>
      <c r="E839" s="4" t="str">
        <f t="shared" si="69"/>
        <v>Saturday</v>
      </c>
      <c r="F839" s="4" t="str">
        <f t="shared" si="70"/>
        <v>May</v>
      </c>
      <c r="G839" s="3">
        <v>45059</v>
      </c>
      <c r="H839" s="4" t="s">
        <v>870</v>
      </c>
      <c r="I839" s="4" t="s">
        <v>19</v>
      </c>
      <c r="J839" s="4" t="str" cm="1">
        <f t="array" ref="J839">_xlfn.IFS(K839&lt;30,"Young Adult",K839&lt;50,"Adult",K839&gt;=50,"Senior")</f>
        <v>Adult</v>
      </c>
      <c r="K839" s="4">
        <v>47</v>
      </c>
      <c r="L839" s="4" t="s">
        <v>26</v>
      </c>
      <c r="M839" s="4">
        <v>2</v>
      </c>
      <c r="N839" s="16">
        <v>300</v>
      </c>
      <c r="O839" s="17">
        <f>M839*N839</f>
        <v>600</v>
      </c>
      <c r="P839" s="13">
        <f>$O839*$U$4</f>
        <v>9</v>
      </c>
      <c r="Q839" s="13">
        <f>$O839*$U$5</f>
        <v>12</v>
      </c>
      <c r="R839" s="13" cm="1">
        <f t="array" ref="R839">_xlfn.IFS(B839=2023,O839*$U$4,B839=2024,O839*$U$5)</f>
        <v>9</v>
      </c>
    </row>
    <row r="840" spans="1:18">
      <c r="A840" s="2">
        <v>839</v>
      </c>
      <c r="B840" s="4">
        <f t="shared" si="66"/>
        <v>2023</v>
      </c>
      <c r="C840" s="4">
        <f t="shared" si="67"/>
        <v>6</v>
      </c>
      <c r="D840" s="4">
        <f t="shared" si="68"/>
        <v>24</v>
      </c>
      <c r="E840" s="4" t="str">
        <f t="shared" si="69"/>
        <v>Saturday</v>
      </c>
      <c r="F840" s="4" t="str">
        <f t="shared" si="70"/>
        <v>June</v>
      </c>
      <c r="G840" s="3">
        <v>45101</v>
      </c>
      <c r="H840" s="4" t="s">
        <v>871</v>
      </c>
      <c r="I840" s="4" t="s">
        <v>22</v>
      </c>
      <c r="J840" s="4" t="str" cm="1">
        <f t="array" ref="J840">_xlfn.IFS(K840&lt;30,"Young Adult",K840&lt;50,"Adult",K840&gt;=50,"Senior")</f>
        <v>Young Adult</v>
      </c>
      <c r="K840" s="4">
        <v>20</v>
      </c>
      <c r="L840" s="4" t="s">
        <v>26</v>
      </c>
      <c r="M840" s="4">
        <v>4</v>
      </c>
      <c r="N840" s="16">
        <v>300</v>
      </c>
      <c r="O840" s="17">
        <f>M840*N840</f>
        <v>1200</v>
      </c>
      <c r="P840" s="13">
        <f>$O840*$U$4</f>
        <v>18</v>
      </c>
      <c r="Q840" s="13">
        <f>$O840*$U$5</f>
        <v>24</v>
      </c>
      <c r="R840" s="13" cm="1">
        <f t="array" ref="R840">_xlfn.IFS(B840=2023,O840*$U$4,B840=2024,O840*$U$5)</f>
        <v>18</v>
      </c>
    </row>
    <row r="841" spans="1:18">
      <c r="A841" s="2">
        <v>840</v>
      </c>
      <c r="B841" s="4">
        <f t="shared" si="66"/>
        <v>2023</v>
      </c>
      <c r="C841" s="4">
        <f t="shared" si="67"/>
        <v>5</v>
      </c>
      <c r="D841" s="4">
        <f t="shared" si="68"/>
        <v>24</v>
      </c>
      <c r="E841" s="4" t="str">
        <f t="shared" si="69"/>
        <v>Wednesday</v>
      </c>
      <c r="F841" s="4" t="str">
        <f t="shared" si="70"/>
        <v>May</v>
      </c>
      <c r="G841" s="3">
        <v>45070</v>
      </c>
      <c r="H841" s="4" t="s">
        <v>872</v>
      </c>
      <c r="I841" s="4" t="s">
        <v>19</v>
      </c>
      <c r="J841" s="4" t="str" cm="1">
        <f t="array" ref="J841">_xlfn.IFS(K841&lt;30,"Young Adult",K841&lt;50,"Adult",K841&gt;=50,"Senior")</f>
        <v>Senior</v>
      </c>
      <c r="K841" s="4">
        <v>62</v>
      </c>
      <c r="L841" s="4" t="s">
        <v>23</v>
      </c>
      <c r="M841" s="4">
        <v>2</v>
      </c>
      <c r="N841" s="16">
        <v>25</v>
      </c>
      <c r="O841" s="17">
        <f>M841*N841</f>
        <v>50</v>
      </c>
      <c r="P841" s="13">
        <f>$O841*$U$4</f>
        <v>0.75</v>
      </c>
      <c r="Q841" s="13">
        <f>$O841*$U$5</f>
        <v>1</v>
      </c>
      <c r="R841" s="13" cm="1">
        <f t="array" ref="R841">_xlfn.IFS(B841=2023,O841*$U$4,B841=2024,O841*$U$5)</f>
        <v>0.75</v>
      </c>
    </row>
    <row r="842" spans="1:18">
      <c r="A842" s="2">
        <v>841</v>
      </c>
      <c r="B842" s="4">
        <f t="shared" si="66"/>
        <v>2023</v>
      </c>
      <c r="C842" s="4">
        <f t="shared" si="67"/>
        <v>11</v>
      </c>
      <c r="D842" s="4">
        <f t="shared" si="68"/>
        <v>2</v>
      </c>
      <c r="E842" s="4" t="str">
        <f t="shared" si="69"/>
        <v>Thursday</v>
      </c>
      <c r="F842" s="4" t="str">
        <f t="shared" si="70"/>
        <v>November</v>
      </c>
      <c r="G842" s="3">
        <v>45232</v>
      </c>
      <c r="H842" s="4" t="s">
        <v>873</v>
      </c>
      <c r="I842" s="4" t="s">
        <v>19</v>
      </c>
      <c r="J842" s="4" t="str" cm="1">
        <f t="array" ref="J842">_xlfn.IFS(K842&lt;30,"Young Adult",K842&lt;50,"Adult",K842&gt;=50,"Senior")</f>
        <v>Adult</v>
      </c>
      <c r="K842" s="4">
        <v>31</v>
      </c>
      <c r="L842" s="4" t="s">
        <v>26</v>
      </c>
      <c r="M842" s="4">
        <v>4</v>
      </c>
      <c r="N842" s="16">
        <v>25</v>
      </c>
      <c r="O842" s="17">
        <f>M842*N842</f>
        <v>100</v>
      </c>
      <c r="P842" s="13">
        <f>$O842*$U$4</f>
        <v>1.5</v>
      </c>
      <c r="Q842" s="13">
        <f>$O842*$U$5</f>
        <v>2</v>
      </c>
      <c r="R842" s="13" cm="1">
        <f t="array" ref="R842">_xlfn.IFS(B842=2023,O842*$U$4,B842=2024,O842*$U$5)</f>
        <v>1.5</v>
      </c>
    </row>
    <row r="843" spans="1:18">
      <c r="A843" s="2">
        <v>842</v>
      </c>
      <c r="B843" s="4">
        <f t="shared" si="66"/>
        <v>2023</v>
      </c>
      <c r="C843" s="4">
        <f t="shared" si="67"/>
        <v>12</v>
      </c>
      <c r="D843" s="4">
        <f t="shared" si="68"/>
        <v>26</v>
      </c>
      <c r="E843" s="4" t="str">
        <f t="shared" si="69"/>
        <v>Tuesday</v>
      </c>
      <c r="F843" s="4" t="str">
        <f t="shared" si="70"/>
        <v>December</v>
      </c>
      <c r="G843" s="3">
        <v>45286</v>
      </c>
      <c r="H843" s="4" t="s">
        <v>874</v>
      </c>
      <c r="I843" s="4" t="s">
        <v>22</v>
      </c>
      <c r="J843" s="4" t="str" cm="1">
        <f t="array" ref="J843">_xlfn.IFS(K843&lt;30,"Young Adult",K843&lt;50,"Adult",K843&gt;=50,"Senior")</f>
        <v>Adult</v>
      </c>
      <c r="K843" s="4">
        <v>47</v>
      </c>
      <c r="L843" s="4" t="s">
        <v>23</v>
      </c>
      <c r="M843" s="4">
        <v>2</v>
      </c>
      <c r="N843" s="16">
        <v>300</v>
      </c>
      <c r="O843" s="17">
        <f>M843*N843</f>
        <v>600</v>
      </c>
      <c r="P843" s="13">
        <f>$O843*$U$4</f>
        <v>9</v>
      </c>
      <c r="Q843" s="13">
        <f>$O843*$U$5</f>
        <v>12</v>
      </c>
      <c r="R843" s="13" cm="1">
        <f t="array" ref="R843">_xlfn.IFS(B843=2023,O843*$U$4,B843=2024,O843*$U$5)</f>
        <v>9</v>
      </c>
    </row>
    <row r="844" spans="1:18">
      <c r="A844" s="2">
        <v>843</v>
      </c>
      <c r="B844" s="4">
        <f t="shared" si="66"/>
        <v>2023</v>
      </c>
      <c r="C844" s="4">
        <f t="shared" si="67"/>
        <v>5</v>
      </c>
      <c r="D844" s="4">
        <f t="shared" si="68"/>
        <v>22</v>
      </c>
      <c r="E844" s="4" t="str">
        <f t="shared" si="69"/>
        <v>Monday</v>
      </c>
      <c r="F844" s="4" t="str">
        <f t="shared" si="70"/>
        <v>May</v>
      </c>
      <c r="G844" s="3">
        <v>45068</v>
      </c>
      <c r="H844" s="4" t="s">
        <v>875</v>
      </c>
      <c r="I844" s="4" t="s">
        <v>19</v>
      </c>
      <c r="J844" s="4" t="str" cm="1">
        <f t="array" ref="J844">_xlfn.IFS(K844&lt;30,"Young Adult",K844&lt;50,"Adult",K844&gt;=50,"Senior")</f>
        <v>Young Adult</v>
      </c>
      <c r="K844" s="4">
        <v>21</v>
      </c>
      <c r="L844" s="4" t="s">
        <v>20</v>
      </c>
      <c r="M844" s="4">
        <v>3</v>
      </c>
      <c r="N844" s="16">
        <v>500</v>
      </c>
      <c r="O844" s="17">
        <f>M844*N844</f>
        <v>1500</v>
      </c>
      <c r="P844" s="13">
        <f>$O844*$U$4</f>
        <v>22.5</v>
      </c>
      <c r="Q844" s="13">
        <f>$O844*$U$5</f>
        <v>30</v>
      </c>
      <c r="R844" s="13" cm="1">
        <f t="array" ref="R844">_xlfn.IFS(B844=2023,O844*$U$4,B844=2024,O844*$U$5)</f>
        <v>22.5</v>
      </c>
    </row>
    <row r="845" spans="1:18">
      <c r="A845" s="2">
        <v>844</v>
      </c>
      <c r="B845" s="4">
        <f t="shared" si="66"/>
        <v>2023</v>
      </c>
      <c r="C845" s="4">
        <f t="shared" si="67"/>
        <v>10</v>
      </c>
      <c r="D845" s="4">
        <f t="shared" si="68"/>
        <v>12</v>
      </c>
      <c r="E845" s="4" t="str">
        <f t="shared" si="69"/>
        <v>Thursday</v>
      </c>
      <c r="F845" s="4" t="str">
        <f t="shared" si="70"/>
        <v>October</v>
      </c>
      <c r="G845" s="3">
        <v>45211</v>
      </c>
      <c r="H845" s="4" t="s">
        <v>876</v>
      </c>
      <c r="I845" s="4" t="s">
        <v>19</v>
      </c>
      <c r="J845" s="4" t="str" cm="1">
        <f t="array" ref="J845">_xlfn.IFS(K845&lt;30,"Young Adult",K845&lt;50,"Adult",K845&gt;=50,"Senior")</f>
        <v>Adult</v>
      </c>
      <c r="K845" s="4">
        <v>35</v>
      </c>
      <c r="L845" s="4" t="s">
        <v>23</v>
      </c>
      <c r="M845" s="4">
        <v>3</v>
      </c>
      <c r="N845" s="16">
        <v>50</v>
      </c>
      <c r="O845" s="17">
        <f>M845*N845</f>
        <v>150</v>
      </c>
      <c r="P845" s="13">
        <f>$O845*$U$4</f>
        <v>2.25</v>
      </c>
      <c r="Q845" s="13">
        <f>$O845*$U$5</f>
        <v>3</v>
      </c>
      <c r="R845" s="13" cm="1">
        <f t="array" ref="R845">_xlfn.IFS(B845=2023,O845*$U$4,B845=2024,O845*$U$5)</f>
        <v>2.25</v>
      </c>
    </row>
    <row r="846" spans="1:18">
      <c r="A846" s="2">
        <v>845</v>
      </c>
      <c r="B846" s="4">
        <f t="shared" si="66"/>
        <v>2023</v>
      </c>
      <c r="C846" s="4">
        <f t="shared" si="67"/>
        <v>1</v>
      </c>
      <c r="D846" s="4">
        <f t="shared" si="68"/>
        <v>6</v>
      </c>
      <c r="E846" s="4" t="str">
        <f t="shared" si="69"/>
        <v>Friday</v>
      </c>
      <c r="F846" s="4" t="str">
        <f t="shared" si="70"/>
        <v>January</v>
      </c>
      <c r="G846" s="3">
        <v>44932</v>
      </c>
      <c r="H846" s="4" t="s">
        <v>877</v>
      </c>
      <c r="I846" s="4" t="s">
        <v>19</v>
      </c>
      <c r="J846" s="4" t="str" cm="1">
        <f t="array" ref="J846">_xlfn.IFS(K846&lt;30,"Young Adult",K846&lt;50,"Adult",K846&gt;=50,"Senior")</f>
        <v>Senior</v>
      </c>
      <c r="K846" s="4">
        <v>54</v>
      </c>
      <c r="L846" s="4" t="s">
        <v>23</v>
      </c>
      <c r="M846" s="4">
        <v>1</v>
      </c>
      <c r="N846" s="16">
        <v>500</v>
      </c>
      <c r="O846" s="17">
        <f>M846*N846</f>
        <v>500</v>
      </c>
      <c r="P846" s="13">
        <f>$O846*$U$4</f>
        <v>7.5</v>
      </c>
      <c r="Q846" s="13">
        <f>$O846*$U$5</f>
        <v>10</v>
      </c>
      <c r="R846" s="13" cm="1">
        <f t="array" ref="R846">_xlfn.IFS(B846=2023,O846*$U$4,B846=2024,O846*$U$5)</f>
        <v>7.5</v>
      </c>
    </row>
    <row r="847" spans="1:18">
      <c r="A847" s="2">
        <v>846</v>
      </c>
      <c r="B847" s="4">
        <f t="shared" si="66"/>
        <v>2023</v>
      </c>
      <c r="C847" s="4">
        <f t="shared" si="67"/>
        <v>9</v>
      </c>
      <c r="D847" s="4">
        <f t="shared" si="68"/>
        <v>22</v>
      </c>
      <c r="E847" s="4" t="str">
        <f t="shared" si="69"/>
        <v>Friday</v>
      </c>
      <c r="F847" s="4" t="str">
        <f t="shared" si="70"/>
        <v>September</v>
      </c>
      <c r="G847" s="3">
        <v>45191</v>
      </c>
      <c r="H847" s="4" t="s">
        <v>878</v>
      </c>
      <c r="I847" s="4" t="s">
        <v>19</v>
      </c>
      <c r="J847" s="4" t="str" cm="1">
        <f t="array" ref="J847">_xlfn.IFS(K847&lt;30,"Young Adult",K847&lt;50,"Adult",K847&gt;=50,"Senior")</f>
        <v>Adult</v>
      </c>
      <c r="K847" s="4">
        <v>42</v>
      </c>
      <c r="L847" s="4" t="s">
        <v>20</v>
      </c>
      <c r="M847" s="4">
        <v>1</v>
      </c>
      <c r="N847" s="16">
        <v>50</v>
      </c>
      <c r="O847" s="17">
        <f>M847*N847</f>
        <v>50</v>
      </c>
      <c r="P847" s="13">
        <f>$O847*$U$4</f>
        <v>0.75</v>
      </c>
      <c r="Q847" s="13">
        <f>$O847*$U$5</f>
        <v>1</v>
      </c>
      <c r="R847" s="13" cm="1">
        <f t="array" ref="R847">_xlfn.IFS(B847=2023,O847*$U$4,B847=2024,O847*$U$5)</f>
        <v>0.75</v>
      </c>
    </row>
    <row r="848" spans="1:18">
      <c r="A848" s="2">
        <v>847</v>
      </c>
      <c r="B848" s="4">
        <f t="shared" si="66"/>
        <v>2023</v>
      </c>
      <c r="C848" s="4">
        <f t="shared" si="67"/>
        <v>4</v>
      </c>
      <c r="D848" s="4">
        <f t="shared" si="68"/>
        <v>8</v>
      </c>
      <c r="E848" s="4" t="str">
        <f t="shared" si="69"/>
        <v>Saturday</v>
      </c>
      <c r="F848" s="4" t="str">
        <f t="shared" si="70"/>
        <v>April</v>
      </c>
      <c r="G848" s="3">
        <v>45024</v>
      </c>
      <c r="H848" s="4" t="s">
        <v>879</v>
      </c>
      <c r="I848" s="4" t="s">
        <v>22</v>
      </c>
      <c r="J848" s="4" t="str" cm="1">
        <f t="array" ref="J848">_xlfn.IFS(K848&lt;30,"Young Adult",K848&lt;50,"Adult",K848&gt;=50,"Senior")</f>
        <v>Young Adult</v>
      </c>
      <c r="K848" s="4">
        <v>18</v>
      </c>
      <c r="L848" s="4" t="s">
        <v>26</v>
      </c>
      <c r="M848" s="4">
        <v>4</v>
      </c>
      <c r="N848" s="16">
        <v>300</v>
      </c>
      <c r="O848" s="17">
        <f>M848*N848</f>
        <v>1200</v>
      </c>
      <c r="P848" s="13">
        <f>$O848*$U$4</f>
        <v>18</v>
      </c>
      <c r="Q848" s="13">
        <f>$O848*$U$5</f>
        <v>24</v>
      </c>
      <c r="R848" s="13" cm="1">
        <f t="array" ref="R848">_xlfn.IFS(B848=2023,O848*$U$4,B848=2024,O848*$U$5)</f>
        <v>18</v>
      </c>
    </row>
    <row r="849" spans="1:18">
      <c r="A849" s="2">
        <v>848</v>
      </c>
      <c r="B849" s="4">
        <f t="shared" si="66"/>
        <v>2023</v>
      </c>
      <c r="C849" s="4">
        <f t="shared" si="67"/>
        <v>2</v>
      </c>
      <c r="D849" s="4">
        <f t="shared" si="68"/>
        <v>13</v>
      </c>
      <c r="E849" s="4" t="str">
        <f t="shared" si="69"/>
        <v>Monday</v>
      </c>
      <c r="F849" s="4" t="str">
        <f t="shared" si="70"/>
        <v>February</v>
      </c>
      <c r="G849" s="3">
        <v>44970</v>
      </c>
      <c r="H849" s="4" t="s">
        <v>880</v>
      </c>
      <c r="I849" s="4" t="s">
        <v>22</v>
      </c>
      <c r="J849" s="4" t="str" cm="1">
        <f t="array" ref="J849">_xlfn.IFS(K849&lt;30,"Young Adult",K849&lt;50,"Adult",K849&gt;=50,"Senior")</f>
        <v>Senior</v>
      </c>
      <c r="K849" s="4">
        <v>63</v>
      </c>
      <c r="L849" s="4" t="s">
        <v>23</v>
      </c>
      <c r="M849" s="4">
        <v>3</v>
      </c>
      <c r="N849" s="16">
        <v>25</v>
      </c>
      <c r="O849" s="17">
        <f>M849*N849</f>
        <v>75</v>
      </c>
      <c r="P849" s="13">
        <f>$O849*$U$4</f>
        <v>1.125</v>
      </c>
      <c r="Q849" s="13">
        <f>$O849*$U$5</f>
        <v>1.5</v>
      </c>
      <c r="R849" s="13" cm="1">
        <f t="array" ref="R849">_xlfn.IFS(B849=2023,O849*$U$4,B849=2024,O849*$U$5)</f>
        <v>1.125</v>
      </c>
    </row>
    <row r="850" spans="1:18">
      <c r="A850" s="2">
        <v>849</v>
      </c>
      <c r="B850" s="4">
        <f t="shared" si="66"/>
        <v>2023</v>
      </c>
      <c r="C850" s="4">
        <f t="shared" si="67"/>
        <v>5</v>
      </c>
      <c r="D850" s="4">
        <f t="shared" si="68"/>
        <v>4</v>
      </c>
      <c r="E850" s="4" t="str">
        <f t="shared" si="69"/>
        <v>Thursday</v>
      </c>
      <c r="F850" s="4" t="str">
        <f t="shared" si="70"/>
        <v>May</v>
      </c>
      <c r="G850" s="3">
        <v>45050</v>
      </c>
      <c r="H850" s="4" t="s">
        <v>881</v>
      </c>
      <c r="I850" s="4" t="s">
        <v>19</v>
      </c>
      <c r="J850" s="4" t="str" cm="1">
        <f t="array" ref="J850">_xlfn.IFS(K850&lt;30,"Young Adult",K850&lt;50,"Adult",K850&gt;=50,"Senior")</f>
        <v>Adult</v>
      </c>
      <c r="K850" s="4">
        <v>32</v>
      </c>
      <c r="L850" s="4" t="s">
        <v>23</v>
      </c>
      <c r="M850" s="4">
        <v>2</v>
      </c>
      <c r="N850" s="16">
        <v>25</v>
      </c>
      <c r="O850" s="17">
        <f>M850*N850</f>
        <v>50</v>
      </c>
      <c r="P850" s="13">
        <f>$O850*$U$4</f>
        <v>0.75</v>
      </c>
      <c r="Q850" s="13">
        <f>$O850*$U$5</f>
        <v>1</v>
      </c>
      <c r="R850" s="13" cm="1">
        <f t="array" ref="R850">_xlfn.IFS(B850=2023,O850*$U$4,B850=2024,O850*$U$5)</f>
        <v>0.75</v>
      </c>
    </row>
    <row r="851" spans="1:18">
      <c r="A851" s="2">
        <v>850</v>
      </c>
      <c r="B851" s="4">
        <f t="shared" si="66"/>
        <v>2023</v>
      </c>
      <c r="C851" s="4">
        <f t="shared" si="67"/>
        <v>7</v>
      </c>
      <c r="D851" s="4">
        <f t="shared" si="68"/>
        <v>28</v>
      </c>
      <c r="E851" s="4" t="str">
        <f t="shared" si="69"/>
        <v>Friday</v>
      </c>
      <c r="F851" s="4" t="str">
        <f t="shared" si="70"/>
        <v>July</v>
      </c>
      <c r="G851" s="3">
        <v>45135</v>
      </c>
      <c r="H851" s="4" t="s">
        <v>882</v>
      </c>
      <c r="I851" s="4" t="s">
        <v>22</v>
      </c>
      <c r="J851" s="4" t="str" cm="1">
        <f t="array" ref="J851">_xlfn.IFS(K851&lt;30,"Young Adult",K851&lt;50,"Adult",K851&gt;=50,"Senior")</f>
        <v>Young Adult</v>
      </c>
      <c r="K851" s="4">
        <v>26</v>
      </c>
      <c r="L851" s="4" t="s">
        <v>20</v>
      </c>
      <c r="M851" s="4">
        <v>2</v>
      </c>
      <c r="N851" s="16">
        <v>500</v>
      </c>
      <c r="O851" s="17">
        <f>M851*N851</f>
        <v>1000</v>
      </c>
      <c r="P851" s="13">
        <f>$O851*$U$4</f>
        <v>15</v>
      </c>
      <c r="Q851" s="13">
        <f>$O851*$U$5</f>
        <v>20</v>
      </c>
      <c r="R851" s="13" cm="1">
        <f t="array" ref="R851">_xlfn.IFS(B851=2023,O851*$U$4,B851=2024,O851*$U$5)</f>
        <v>15</v>
      </c>
    </row>
    <row r="852" spans="1:18">
      <c r="A852" s="2">
        <v>851</v>
      </c>
      <c r="B852" s="4">
        <f t="shared" si="66"/>
        <v>2023</v>
      </c>
      <c r="C852" s="4">
        <f t="shared" si="67"/>
        <v>9</v>
      </c>
      <c r="D852" s="4">
        <f t="shared" si="68"/>
        <v>8</v>
      </c>
      <c r="E852" s="4" t="str">
        <f t="shared" si="69"/>
        <v>Friday</v>
      </c>
      <c r="F852" s="4" t="str">
        <f t="shared" si="70"/>
        <v>September</v>
      </c>
      <c r="G852" s="3">
        <v>45177</v>
      </c>
      <c r="H852" s="4" t="s">
        <v>883</v>
      </c>
      <c r="I852" s="4" t="s">
        <v>19</v>
      </c>
      <c r="J852" s="4" t="str" cm="1">
        <f t="array" ref="J852">_xlfn.IFS(K852&lt;30,"Young Adult",K852&lt;50,"Adult",K852&gt;=50,"Senior")</f>
        <v>Adult</v>
      </c>
      <c r="K852" s="4">
        <v>32</v>
      </c>
      <c r="L852" s="4" t="s">
        <v>26</v>
      </c>
      <c r="M852" s="4">
        <v>2</v>
      </c>
      <c r="N852" s="16">
        <v>25</v>
      </c>
      <c r="O852" s="17">
        <f>M852*N852</f>
        <v>50</v>
      </c>
      <c r="P852" s="13">
        <f>$O852*$U$4</f>
        <v>0.75</v>
      </c>
      <c r="Q852" s="13">
        <f>$O852*$U$5</f>
        <v>1</v>
      </c>
      <c r="R852" s="13" cm="1">
        <f t="array" ref="R852">_xlfn.IFS(B852=2023,O852*$U$4,B852=2024,O852*$U$5)</f>
        <v>0.75</v>
      </c>
    </row>
    <row r="853" spans="1:18">
      <c r="A853" s="2">
        <v>852</v>
      </c>
      <c r="B853" s="4">
        <f t="shared" si="66"/>
        <v>2023</v>
      </c>
      <c r="C853" s="4">
        <f t="shared" si="67"/>
        <v>10</v>
      </c>
      <c r="D853" s="4">
        <f t="shared" si="68"/>
        <v>12</v>
      </c>
      <c r="E853" s="4" t="str">
        <f t="shared" si="69"/>
        <v>Thursday</v>
      </c>
      <c r="F853" s="4" t="str">
        <f t="shared" si="70"/>
        <v>October</v>
      </c>
      <c r="G853" s="3">
        <v>45211</v>
      </c>
      <c r="H853" s="4" t="s">
        <v>884</v>
      </c>
      <c r="I853" s="4" t="s">
        <v>22</v>
      </c>
      <c r="J853" s="4" t="str" cm="1">
        <f t="array" ref="J853">_xlfn.IFS(K853&lt;30,"Young Adult",K853&lt;50,"Adult",K853&gt;=50,"Senior")</f>
        <v>Adult</v>
      </c>
      <c r="K853" s="4">
        <v>41</v>
      </c>
      <c r="L853" s="4" t="s">
        <v>23</v>
      </c>
      <c r="M853" s="4">
        <v>1</v>
      </c>
      <c r="N853" s="16">
        <v>300</v>
      </c>
      <c r="O853" s="17">
        <f>M853*N853</f>
        <v>300</v>
      </c>
      <c r="P853" s="13">
        <f>$O853*$U$4</f>
        <v>4.5</v>
      </c>
      <c r="Q853" s="13">
        <f>$O853*$U$5</f>
        <v>6</v>
      </c>
      <c r="R853" s="13" cm="1">
        <f t="array" ref="R853">_xlfn.IFS(B853=2023,O853*$U$4,B853=2024,O853*$U$5)</f>
        <v>4.5</v>
      </c>
    </row>
    <row r="854" spans="1:18">
      <c r="A854" s="2">
        <v>853</v>
      </c>
      <c r="B854" s="4">
        <f t="shared" si="66"/>
        <v>2023</v>
      </c>
      <c r="C854" s="4">
        <f t="shared" si="67"/>
        <v>5</v>
      </c>
      <c r="D854" s="4">
        <f t="shared" si="68"/>
        <v>4</v>
      </c>
      <c r="E854" s="4" t="str">
        <f t="shared" si="69"/>
        <v>Thursday</v>
      </c>
      <c r="F854" s="4" t="str">
        <f t="shared" si="70"/>
        <v>May</v>
      </c>
      <c r="G854" s="3">
        <v>45050</v>
      </c>
      <c r="H854" s="4" t="s">
        <v>885</v>
      </c>
      <c r="I854" s="4" t="s">
        <v>19</v>
      </c>
      <c r="J854" s="4" t="str" cm="1">
        <f t="array" ref="J854">_xlfn.IFS(K854&lt;30,"Young Adult",K854&lt;50,"Adult",K854&gt;=50,"Senior")</f>
        <v>Young Adult</v>
      </c>
      <c r="K854" s="4">
        <v>21</v>
      </c>
      <c r="L854" s="4" t="s">
        <v>20</v>
      </c>
      <c r="M854" s="4">
        <v>2</v>
      </c>
      <c r="N854" s="16">
        <v>500</v>
      </c>
      <c r="O854" s="17">
        <f>M854*N854</f>
        <v>1000</v>
      </c>
      <c r="P854" s="13">
        <f>$O854*$U$4</f>
        <v>15</v>
      </c>
      <c r="Q854" s="13">
        <f>$O854*$U$5</f>
        <v>20</v>
      </c>
      <c r="R854" s="13" cm="1">
        <f t="array" ref="R854">_xlfn.IFS(B854=2023,O854*$U$4,B854=2024,O854*$U$5)</f>
        <v>15</v>
      </c>
    </row>
    <row r="855" spans="1:18">
      <c r="A855" s="2">
        <v>854</v>
      </c>
      <c r="B855" s="4">
        <f t="shared" si="66"/>
        <v>2023</v>
      </c>
      <c r="C855" s="4">
        <f t="shared" si="67"/>
        <v>12</v>
      </c>
      <c r="D855" s="4">
        <f t="shared" si="68"/>
        <v>20</v>
      </c>
      <c r="E855" s="4" t="str">
        <f t="shared" si="69"/>
        <v>Wednesday</v>
      </c>
      <c r="F855" s="4" t="str">
        <f t="shared" si="70"/>
        <v>December</v>
      </c>
      <c r="G855" s="3">
        <v>45280</v>
      </c>
      <c r="H855" s="4" t="s">
        <v>886</v>
      </c>
      <c r="I855" s="4" t="s">
        <v>19</v>
      </c>
      <c r="J855" s="4" t="str" cm="1">
        <f t="array" ref="J855">_xlfn.IFS(K855&lt;30,"Young Adult",K855&lt;50,"Adult",K855&gt;=50,"Senior")</f>
        <v>Young Adult</v>
      </c>
      <c r="K855" s="4">
        <v>29</v>
      </c>
      <c r="L855" s="4" t="s">
        <v>23</v>
      </c>
      <c r="M855" s="4">
        <v>1</v>
      </c>
      <c r="N855" s="16">
        <v>50</v>
      </c>
      <c r="O855" s="17">
        <f>M855*N855</f>
        <v>50</v>
      </c>
      <c r="P855" s="13">
        <f>$O855*$U$4</f>
        <v>0.75</v>
      </c>
      <c r="Q855" s="13">
        <f>$O855*$U$5</f>
        <v>1</v>
      </c>
      <c r="R855" s="13" cm="1">
        <f t="array" ref="R855">_xlfn.IFS(B855=2023,O855*$U$4,B855=2024,O855*$U$5)</f>
        <v>0.75</v>
      </c>
    </row>
    <row r="856" spans="1:18">
      <c r="A856" s="2">
        <v>855</v>
      </c>
      <c r="B856" s="4">
        <f t="shared" si="66"/>
        <v>2023</v>
      </c>
      <c r="C856" s="4">
        <f t="shared" si="67"/>
        <v>9</v>
      </c>
      <c r="D856" s="4">
        <f t="shared" si="68"/>
        <v>1</v>
      </c>
      <c r="E856" s="4" t="str">
        <f t="shared" si="69"/>
        <v>Friday</v>
      </c>
      <c r="F856" s="4" t="str">
        <f t="shared" si="70"/>
        <v>September</v>
      </c>
      <c r="G856" s="3">
        <v>45170</v>
      </c>
      <c r="H856" s="4" t="s">
        <v>887</v>
      </c>
      <c r="I856" s="4" t="s">
        <v>19</v>
      </c>
      <c r="J856" s="4" t="str" cm="1">
        <f t="array" ref="J856">_xlfn.IFS(K856&lt;30,"Young Adult",K856&lt;50,"Adult",K856&gt;=50,"Senior")</f>
        <v>Senior</v>
      </c>
      <c r="K856" s="4">
        <v>54</v>
      </c>
      <c r="L856" s="4" t="s">
        <v>20</v>
      </c>
      <c r="M856" s="4">
        <v>1</v>
      </c>
      <c r="N856" s="16">
        <v>25</v>
      </c>
      <c r="O856" s="17">
        <f>M856*N856</f>
        <v>25</v>
      </c>
      <c r="P856" s="13">
        <f>$O856*$U$4</f>
        <v>0.375</v>
      </c>
      <c r="Q856" s="13">
        <f>$O856*$U$5</f>
        <v>0.5</v>
      </c>
      <c r="R856" s="13" cm="1">
        <f t="array" ref="R856">_xlfn.IFS(B856=2023,O856*$U$4,B856=2024,O856*$U$5)</f>
        <v>0.375</v>
      </c>
    </row>
    <row r="857" spans="1:18">
      <c r="A857" s="2">
        <v>856</v>
      </c>
      <c r="B857" s="4">
        <f t="shared" si="66"/>
        <v>2023</v>
      </c>
      <c r="C857" s="4">
        <f t="shared" si="67"/>
        <v>11</v>
      </c>
      <c r="D857" s="4">
        <f t="shared" si="68"/>
        <v>27</v>
      </c>
      <c r="E857" s="4" t="str">
        <f t="shared" si="69"/>
        <v>Monday</v>
      </c>
      <c r="F857" s="4" t="str">
        <f t="shared" si="70"/>
        <v>November</v>
      </c>
      <c r="G857" s="3">
        <v>45257</v>
      </c>
      <c r="H857" s="4" t="s">
        <v>888</v>
      </c>
      <c r="I857" s="4" t="s">
        <v>19</v>
      </c>
      <c r="J857" s="4" t="str" cm="1">
        <f t="array" ref="J857">_xlfn.IFS(K857&lt;30,"Young Adult",K857&lt;50,"Adult",K857&gt;=50,"Senior")</f>
        <v>Senior</v>
      </c>
      <c r="K857" s="4">
        <v>54</v>
      </c>
      <c r="L857" s="4" t="s">
        <v>26</v>
      </c>
      <c r="M857" s="4">
        <v>4</v>
      </c>
      <c r="N857" s="16">
        <v>30</v>
      </c>
      <c r="O857" s="17">
        <f>M857*N857</f>
        <v>120</v>
      </c>
      <c r="P857" s="13">
        <f>$O857*$U$4</f>
        <v>1.7999999999999998</v>
      </c>
      <c r="Q857" s="13">
        <f>$O857*$U$5</f>
        <v>2.4</v>
      </c>
      <c r="R857" s="13" cm="1">
        <f t="array" ref="R857">_xlfn.IFS(B857=2023,O857*$U$4,B857=2024,O857*$U$5)</f>
        <v>1.7999999999999998</v>
      </c>
    </row>
    <row r="858" spans="1:18">
      <c r="A858" s="2">
        <v>857</v>
      </c>
      <c r="B858" s="4">
        <f t="shared" si="66"/>
        <v>2023</v>
      </c>
      <c r="C858" s="4">
        <f t="shared" si="67"/>
        <v>12</v>
      </c>
      <c r="D858" s="4">
        <f t="shared" si="68"/>
        <v>31</v>
      </c>
      <c r="E858" s="4" t="str">
        <f t="shared" si="69"/>
        <v>Sunday</v>
      </c>
      <c r="F858" s="4" t="str">
        <f t="shared" si="70"/>
        <v>December</v>
      </c>
      <c r="G858" s="3">
        <v>45291</v>
      </c>
      <c r="H858" s="4" t="s">
        <v>889</v>
      </c>
      <c r="I858" s="4" t="s">
        <v>19</v>
      </c>
      <c r="J858" s="4" t="str" cm="1">
        <f t="array" ref="J858">_xlfn.IFS(K858&lt;30,"Young Adult",K858&lt;50,"Adult",K858&gt;=50,"Senior")</f>
        <v>Senior</v>
      </c>
      <c r="K858" s="4">
        <v>60</v>
      </c>
      <c r="L858" s="4" t="s">
        <v>26</v>
      </c>
      <c r="M858" s="4">
        <v>2</v>
      </c>
      <c r="N858" s="16">
        <v>25</v>
      </c>
      <c r="O858" s="17">
        <f>M858*N858</f>
        <v>50</v>
      </c>
      <c r="P858" s="13">
        <f>$O858*$U$4</f>
        <v>0.75</v>
      </c>
      <c r="Q858" s="13">
        <f>$O858*$U$5</f>
        <v>1</v>
      </c>
      <c r="R858" s="13" cm="1">
        <f t="array" ref="R858">_xlfn.IFS(B858=2023,O858*$U$4,B858=2024,O858*$U$5)</f>
        <v>0.75</v>
      </c>
    </row>
    <row r="859" spans="1:18">
      <c r="A859" s="2">
        <v>858</v>
      </c>
      <c r="B859" s="4">
        <f t="shared" si="66"/>
        <v>2023</v>
      </c>
      <c r="C859" s="4">
        <f t="shared" si="67"/>
        <v>9</v>
      </c>
      <c r="D859" s="4">
        <f t="shared" si="68"/>
        <v>9</v>
      </c>
      <c r="E859" s="4" t="str">
        <f t="shared" si="69"/>
        <v>Saturday</v>
      </c>
      <c r="F859" s="4" t="str">
        <f t="shared" si="70"/>
        <v>September</v>
      </c>
      <c r="G859" s="3">
        <v>45178</v>
      </c>
      <c r="H859" s="4" t="s">
        <v>890</v>
      </c>
      <c r="I859" s="4" t="s">
        <v>19</v>
      </c>
      <c r="J859" s="4" t="str" cm="1">
        <f t="array" ref="J859">_xlfn.IFS(K859&lt;30,"Young Adult",K859&lt;50,"Adult",K859&gt;=50,"Senior")</f>
        <v>Young Adult</v>
      </c>
      <c r="K859" s="4">
        <v>23</v>
      </c>
      <c r="L859" s="4" t="s">
        <v>26</v>
      </c>
      <c r="M859" s="4">
        <v>2</v>
      </c>
      <c r="N859" s="16">
        <v>50</v>
      </c>
      <c r="O859" s="17">
        <f>M859*N859</f>
        <v>100</v>
      </c>
      <c r="P859" s="13">
        <f>$O859*$U$4</f>
        <v>1.5</v>
      </c>
      <c r="Q859" s="13">
        <f>$O859*$U$5</f>
        <v>2</v>
      </c>
      <c r="R859" s="13" cm="1">
        <f t="array" ref="R859">_xlfn.IFS(B859=2023,O859*$U$4,B859=2024,O859*$U$5)</f>
        <v>1.5</v>
      </c>
    </row>
    <row r="860" spans="1:18">
      <c r="A860" s="2">
        <v>859</v>
      </c>
      <c r="B860" s="4">
        <f t="shared" si="66"/>
        <v>2023</v>
      </c>
      <c r="C860" s="4">
        <f t="shared" si="67"/>
        <v>8</v>
      </c>
      <c r="D860" s="4">
        <f t="shared" si="68"/>
        <v>18</v>
      </c>
      <c r="E860" s="4" t="str">
        <f t="shared" si="69"/>
        <v>Friday</v>
      </c>
      <c r="F860" s="4" t="str">
        <f t="shared" si="70"/>
        <v>August</v>
      </c>
      <c r="G860" s="3">
        <v>45156</v>
      </c>
      <c r="H860" s="4" t="s">
        <v>891</v>
      </c>
      <c r="I860" s="4" t="s">
        <v>22</v>
      </c>
      <c r="J860" s="4" t="str" cm="1">
        <f t="array" ref="J860">_xlfn.IFS(K860&lt;30,"Young Adult",K860&lt;50,"Adult",K860&gt;=50,"Senior")</f>
        <v>Senior</v>
      </c>
      <c r="K860" s="4">
        <v>56</v>
      </c>
      <c r="L860" s="4" t="s">
        <v>26</v>
      </c>
      <c r="M860" s="4">
        <v>3</v>
      </c>
      <c r="N860" s="16">
        <v>500</v>
      </c>
      <c r="O860" s="17">
        <f>M860*N860</f>
        <v>1500</v>
      </c>
      <c r="P860" s="13">
        <f>$O860*$U$4</f>
        <v>22.5</v>
      </c>
      <c r="Q860" s="13">
        <f>$O860*$U$5</f>
        <v>30</v>
      </c>
      <c r="R860" s="13" cm="1">
        <f t="array" ref="R860">_xlfn.IFS(B860=2023,O860*$U$4,B860=2024,O860*$U$5)</f>
        <v>22.5</v>
      </c>
    </row>
    <row r="861" spans="1:18">
      <c r="A861" s="2">
        <v>860</v>
      </c>
      <c r="B861" s="4">
        <f t="shared" si="66"/>
        <v>2023</v>
      </c>
      <c r="C861" s="4">
        <f t="shared" si="67"/>
        <v>1</v>
      </c>
      <c r="D861" s="4">
        <f t="shared" si="68"/>
        <v>9</v>
      </c>
      <c r="E861" s="4" t="str">
        <f t="shared" si="69"/>
        <v>Monday</v>
      </c>
      <c r="F861" s="4" t="str">
        <f t="shared" si="70"/>
        <v>January</v>
      </c>
      <c r="G861" s="3">
        <v>44935</v>
      </c>
      <c r="H861" s="4" t="s">
        <v>892</v>
      </c>
      <c r="I861" s="4" t="s">
        <v>19</v>
      </c>
      <c r="J861" s="4" t="str" cm="1">
        <f t="array" ref="J861">_xlfn.IFS(K861&lt;30,"Young Adult",K861&lt;50,"Adult",K861&gt;=50,"Senior")</f>
        <v>Senior</v>
      </c>
      <c r="K861" s="4">
        <v>63</v>
      </c>
      <c r="L861" s="4" t="s">
        <v>23</v>
      </c>
      <c r="M861" s="4">
        <v>4</v>
      </c>
      <c r="N861" s="16">
        <v>50</v>
      </c>
      <c r="O861" s="17">
        <f>M861*N861</f>
        <v>200</v>
      </c>
      <c r="P861" s="13">
        <f>$O861*$U$4</f>
        <v>3</v>
      </c>
      <c r="Q861" s="13">
        <f>$O861*$U$5</f>
        <v>4</v>
      </c>
      <c r="R861" s="13" cm="1">
        <f t="array" ref="R861">_xlfn.IFS(B861=2023,O861*$U$4,B861=2024,O861*$U$5)</f>
        <v>3</v>
      </c>
    </row>
    <row r="862" spans="1:18">
      <c r="A862" s="2">
        <v>861</v>
      </c>
      <c r="B862" s="4">
        <f t="shared" si="66"/>
        <v>2023</v>
      </c>
      <c r="C862" s="4">
        <f t="shared" si="67"/>
        <v>2</v>
      </c>
      <c r="D862" s="4">
        <f t="shared" si="68"/>
        <v>17</v>
      </c>
      <c r="E862" s="4" t="str">
        <f t="shared" si="69"/>
        <v>Friday</v>
      </c>
      <c r="F862" s="4" t="str">
        <f t="shared" si="70"/>
        <v>February</v>
      </c>
      <c r="G862" s="3">
        <v>44974</v>
      </c>
      <c r="H862" s="4" t="s">
        <v>893</v>
      </c>
      <c r="I862" s="4" t="s">
        <v>22</v>
      </c>
      <c r="J862" s="4" t="str" cm="1">
        <f t="array" ref="J862">_xlfn.IFS(K862&lt;30,"Young Adult",K862&lt;50,"Adult",K862&gt;=50,"Senior")</f>
        <v>Adult</v>
      </c>
      <c r="K862" s="4">
        <v>41</v>
      </c>
      <c r="L862" s="4" t="s">
        <v>23</v>
      </c>
      <c r="M862" s="4">
        <v>3</v>
      </c>
      <c r="N862" s="16">
        <v>30</v>
      </c>
      <c r="O862" s="17">
        <f>M862*N862</f>
        <v>90</v>
      </c>
      <c r="P862" s="13">
        <f>$O862*$U$4</f>
        <v>1.3499999999999999</v>
      </c>
      <c r="Q862" s="13">
        <f>$O862*$U$5</f>
        <v>1.8</v>
      </c>
      <c r="R862" s="13" cm="1">
        <f t="array" ref="R862">_xlfn.IFS(B862=2023,O862*$U$4,B862=2024,O862*$U$5)</f>
        <v>1.3499999999999999</v>
      </c>
    </row>
    <row r="863" spans="1:18">
      <c r="A863" s="2">
        <v>862</v>
      </c>
      <c r="B863" s="4">
        <f t="shared" si="66"/>
        <v>2023</v>
      </c>
      <c r="C863" s="4">
        <f t="shared" si="67"/>
        <v>5</v>
      </c>
      <c r="D863" s="4">
        <f t="shared" si="68"/>
        <v>31</v>
      </c>
      <c r="E863" s="4" t="str">
        <f t="shared" si="69"/>
        <v>Wednesday</v>
      </c>
      <c r="F863" s="4" t="str">
        <f t="shared" si="70"/>
        <v>May</v>
      </c>
      <c r="G863" s="3">
        <v>45077</v>
      </c>
      <c r="H863" s="4" t="s">
        <v>894</v>
      </c>
      <c r="I863" s="4" t="s">
        <v>19</v>
      </c>
      <c r="J863" s="4" t="str" cm="1">
        <f t="array" ref="J863">_xlfn.IFS(K863&lt;30,"Young Adult",K863&lt;50,"Adult",K863&gt;=50,"Senior")</f>
        <v>Young Adult</v>
      </c>
      <c r="K863" s="4">
        <v>28</v>
      </c>
      <c r="L863" s="4" t="s">
        <v>26</v>
      </c>
      <c r="M863" s="4">
        <v>4</v>
      </c>
      <c r="N863" s="16">
        <v>300</v>
      </c>
      <c r="O863" s="17">
        <f>M863*N863</f>
        <v>1200</v>
      </c>
      <c r="P863" s="13">
        <f>$O863*$U$4</f>
        <v>18</v>
      </c>
      <c r="Q863" s="13">
        <f>$O863*$U$5</f>
        <v>24</v>
      </c>
      <c r="R863" s="13" cm="1">
        <f t="array" ref="R863">_xlfn.IFS(B863=2023,O863*$U$4,B863=2024,O863*$U$5)</f>
        <v>18</v>
      </c>
    </row>
    <row r="864" spans="1:18">
      <c r="A864" s="2">
        <v>863</v>
      </c>
      <c r="B864" s="4">
        <f t="shared" si="66"/>
        <v>2023</v>
      </c>
      <c r="C864" s="4">
        <f t="shared" si="67"/>
        <v>4</v>
      </c>
      <c r="D864" s="4">
        <f t="shared" si="68"/>
        <v>24</v>
      </c>
      <c r="E864" s="4" t="str">
        <f t="shared" si="69"/>
        <v>Monday</v>
      </c>
      <c r="F864" s="4" t="str">
        <f t="shared" si="70"/>
        <v>April</v>
      </c>
      <c r="G864" s="3">
        <v>45040</v>
      </c>
      <c r="H864" s="4" t="s">
        <v>895</v>
      </c>
      <c r="I864" s="4" t="s">
        <v>22</v>
      </c>
      <c r="J864" s="4" t="str" cm="1">
        <f t="array" ref="J864">_xlfn.IFS(K864&lt;30,"Young Adult",K864&lt;50,"Adult",K864&gt;=50,"Senior")</f>
        <v>Adult</v>
      </c>
      <c r="K864" s="4">
        <v>30</v>
      </c>
      <c r="L864" s="4" t="s">
        <v>26</v>
      </c>
      <c r="M864" s="4">
        <v>2</v>
      </c>
      <c r="N864" s="16">
        <v>25</v>
      </c>
      <c r="O864" s="17">
        <f>M864*N864</f>
        <v>50</v>
      </c>
      <c r="P864" s="13">
        <f>$O864*$U$4</f>
        <v>0.75</v>
      </c>
      <c r="Q864" s="13">
        <f>$O864*$U$5</f>
        <v>1</v>
      </c>
      <c r="R864" s="13" cm="1">
        <f t="array" ref="R864">_xlfn.IFS(B864=2023,O864*$U$4,B864=2024,O864*$U$5)</f>
        <v>0.75</v>
      </c>
    </row>
    <row r="865" spans="1:18">
      <c r="A865" s="2">
        <v>864</v>
      </c>
      <c r="B865" s="4">
        <f t="shared" si="66"/>
        <v>2023</v>
      </c>
      <c r="C865" s="4">
        <f t="shared" si="67"/>
        <v>7</v>
      </c>
      <c r="D865" s="4">
        <f t="shared" si="68"/>
        <v>27</v>
      </c>
      <c r="E865" s="4" t="str">
        <f t="shared" si="69"/>
        <v>Thursday</v>
      </c>
      <c r="F865" s="4" t="str">
        <f t="shared" si="70"/>
        <v>July</v>
      </c>
      <c r="G865" s="3">
        <v>45134</v>
      </c>
      <c r="H865" s="4" t="s">
        <v>896</v>
      </c>
      <c r="I865" s="4" t="s">
        <v>22</v>
      </c>
      <c r="J865" s="4" t="str" cm="1">
        <f t="array" ref="J865">_xlfn.IFS(K865&lt;30,"Young Adult",K865&lt;50,"Adult",K865&gt;=50,"Senior")</f>
        <v>Senior</v>
      </c>
      <c r="K865" s="4">
        <v>51</v>
      </c>
      <c r="L865" s="4" t="s">
        <v>26</v>
      </c>
      <c r="M865" s="4">
        <v>1</v>
      </c>
      <c r="N865" s="16">
        <v>500</v>
      </c>
      <c r="O865" s="17">
        <f>M865*N865</f>
        <v>500</v>
      </c>
      <c r="P865" s="13">
        <f>$O865*$U$4</f>
        <v>7.5</v>
      </c>
      <c r="Q865" s="13">
        <f>$O865*$U$5</f>
        <v>10</v>
      </c>
      <c r="R865" s="13" cm="1">
        <f t="array" ref="R865">_xlfn.IFS(B865=2023,O865*$U$4,B865=2024,O865*$U$5)</f>
        <v>7.5</v>
      </c>
    </row>
    <row r="866" spans="1:18">
      <c r="A866" s="2">
        <v>865</v>
      </c>
      <c r="B866" s="4">
        <f t="shared" si="66"/>
        <v>2023</v>
      </c>
      <c r="C866" s="4">
        <f t="shared" si="67"/>
        <v>12</v>
      </c>
      <c r="D866" s="4">
        <f t="shared" si="68"/>
        <v>21</v>
      </c>
      <c r="E866" s="4" t="str">
        <f t="shared" si="69"/>
        <v>Thursday</v>
      </c>
      <c r="F866" s="4" t="str">
        <f t="shared" si="70"/>
        <v>December</v>
      </c>
      <c r="G866" s="3">
        <v>45281</v>
      </c>
      <c r="H866" s="4" t="s">
        <v>897</v>
      </c>
      <c r="I866" s="4" t="s">
        <v>22</v>
      </c>
      <c r="J866" s="4" t="str" cm="1">
        <f t="array" ref="J866">_xlfn.IFS(K866&lt;30,"Young Adult",K866&lt;50,"Adult",K866&gt;=50,"Senior")</f>
        <v>Adult</v>
      </c>
      <c r="K866" s="4">
        <v>42</v>
      </c>
      <c r="L866" s="4" t="s">
        <v>23</v>
      </c>
      <c r="M866" s="4">
        <v>1</v>
      </c>
      <c r="N866" s="16">
        <v>300</v>
      </c>
      <c r="O866" s="17">
        <f>M866*N866</f>
        <v>300</v>
      </c>
      <c r="P866" s="13">
        <f>$O866*$U$4</f>
        <v>4.5</v>
      </c>
      <c r="Q866" s="13">
        <f>$O866*$U$5</f>
        <v>6</v>
      </c>
      <c r="R866" s="13" cm="1">
        <f t="array" ref="R866">_xlfn.IFS(B866=2023,O866*$U$4,B866=2024,O866*$U$5)</f>
        <v>4.5</v>
      </c>
    </row>
    <row r="867" spans="1:18">
      <c r="A867" s="2">
        <v>866</v>
      </c>
      <c r="B867" s="4">
        <f t="shared" si="66"/>
        <v>2023</v>
      </c>
      <c r="C867" s="4">
        <f t="shared" si="67"/>
        <v>5</v>
      </c>
      <c r="D867" s="4">
        <f t="shared" si="68"/>
        <v>5</v>
      </c>
      <c r="E867" s="4" t="str">
        <f t="shared" si="69"/>
        <v>Friday</v>
      </c>
      <c r="F867" s="4" t="str">
        <f t="shared" si="70"/>
        <v>May</v>
      </c>
      <c r="G867" s="3">
        <v>45051</v>
      </c>
      <c r="H867" s="4" t="s">
        <v>898</v>
      </c>
      <c r="I867" s="4" t="s">
        <v>19</v>
      </c>
      <c r="J867" s="4" t="str" cm="1">
        <f t="array" ref="J867">_xlfn.IFS(K867&lt;30,"Young Adult",K867&lt;50,"Adult",K867&gt;=50,"Senior")</f>
        <v>Young Adult</v>
      </c>
      <c r="K867" s="4">
        <v>24</v>
      </c>
      <c r="L867" s="4" t="s">
        <v>26</v>
      </c>
      <c r="M867" s="4">
        <v>1</v>
      </c>
      <c r="N867" s="16">
        <v>50</v>
      </c>
      <c r="O867" s="17">
        <f>M867*N867</f>
        <v>50</v>
      </c>
      <c r="P867" s="13">
        <f>$O867*$U$4</f>
        <v>0.75</v>
      </c>
      <c r="Q867" s="13">
        <f>$O867*$U$5</f>
        <v>1</v>
      </c>
      <c r="R867" s="13" cm="1">
        <f t="array" ref="R867">_xlfn.IFS(B867=2023,O867*$U$4,B867=2024,O867*$U$5)</f>
        <v>0.75</v>
      </c>
    </row>
    <row r="868" spans="1:18">
      <c r="A868" s="2">
        <v>867</v>
      </c>
      <c r="B868" s="4">
        <f t="shared" si="66"/>
        <v>2023</v>
      </c>
      <c r="C868" s="4">
        <f t="shared" si="67"/>
        <v>6</v>
      </c>
      <c r="D868" s="4">
        <f t="shared" si="68"/>
        <v>6</v>
      </c>
      <c r="E868" s="4" t="str">
        <f t="shared" si="69"/>
        <v>Tuesday</v>
      </c>
      <c r="F868" s="4" t="str">
        <f t="shared" si="70"/>
        <v>June</v>
      </c>
      <c r="G868" s="3">
        <v>45083</v>
      </c>
      <c r="H868" s="4" t="s">
        <v>899</v>
      </c>
      <c r="I868" s="4" t="s">
        <v>19</v>
      </c>
      <c r="J868" s="4" t="str" cm="1">
        <f t="array" ref="J868">_xlfn.IFS(K868&lt;30,"Young Adult",K868&lt;50,"Adult",K868&gt;=50,"Senior")</f>
        <v>Young Adult</v>
      </c>
      <c r="K868" s="4">
        <v>21</v>
      </c>
      <c r="L868" s="4" t="s">
        <v>26</v>
      </c>
      <c r="M868" s="4">
        <v>1</v>
      </c>
      <c r="N868" s="16">
        <v>500</v>
      </c>
      <c r="O868" s="17">
        <f>M868*N868</f>
        <v>500</v>
      </c>
      <c r="P868" s="13">
        <f>$O868*$U$4</f>
        <v>7.5</v>
      </c>
      <c r="Q868" s="13">
        <f>$O868*$U$5</f>
        <v>10</v>
      </c>
      <c r="R868" s="13" cm="1">
        <f t="array" ref="R868">_xlfn.IFS(B868=2023,O868*$U$4,B868=2024,O868*$U$5)</f>
        <v>7.5</v>
      </c>
    </row>
    <row r="869" spans="1:18">
      <c r="A869" s="2">
        <v>868</v>
      </c>
      <c r="B869" s="4">
        <f t="shared" si="66"/>
        <v>2023</v>
      </c>
      <c r="C869" s="4">
        <f t="shared" si="67"/>
        <v>12</v>
      </c>
      <c r="D869" s="4">
        <f t="shared" si="68"/>
        <v>6</v>
      </c>
      <c r="E869" s="4" t="str">
        <f t="shared" si="69"/>
        <v>Wednesday</v>
      </c>
      <c r="F869" s="4" t="str">
        <f t="shared" si="70"/>
        <v>December</v>
      </c>
      <c r="G869" s="3">
        <v>45266</v>
      </c>
      <c r="H869" s="4" t="s">
        <v>900</v>
      </c>
      <c r="I869" s="4" t="s">
        <v>22</v>
      </c>
      <c r="J869" s="4" t="str" cm="1">
        <f t="array" ref="J869">_xlfn.IFS(K869&lt;30,"Young Adult",K869&lt;50,"Adult",K869&gt;=50,"Senior")</f>
        <v>Young Adult</v>
      </c>
      <c r="K869" s="4">
        <v>25</v>
      </c>
      <c r="L869" s="4" t="s">
        <v>26</v>
      </c>
      <c r="M869" s="4">
        <v>1</v>
      </c>
      <c r="N869" s="16">
        <v>300</v>
      </c>
      <c r="O869" s="17">
        <f>M869*N869</f>
        <v>300</v>
      </c>
      <c r="P869" s="13">
        <f>$O869*$U$4</f>
        <v>4.5</v>
      </c>
      <c r="Q869" s="13">
        <f>$O869*$U$5</f>
        <v>6</v>
      </c>
      <c r="R869" s="13" cm="1">
        <f t="array" ref="R869">_xlfn.IFS(B869=2023,O869*$U$4,B869=2024,O869*$U$5)</f>
        <v>4.5</v>
      </c>
    </row>
    <row r="870" spans="1:18">
      <c r="A870" s="2">
        <v>869</v>
      </c>
      <c r="B870" s="4">
        <f t="shared" si="66"/>
        <v>2023</v>
      </c>
      <c r="C870" s="4">
        <f t="shared" si="67"/>
        <v>10</v>
      </c>
      <c r="D870" s="4">
        <f t="shared" si="68"/>
        <v>25</v>
      </c>
      <c r="E870" s="4" t="str">
        <f t="shared" si="69"/>
        <v>Wednesday</v>
      </c>
      <c r="F870" s="4" t="str">
        <f t="shared" si="70"/>
        <v>October</v>
      </c>
      <c r="G870" s="3">
        <v>45224</v>
      </c>
      <c r="H870" s="4" t="s">
        <v>901</v>
      </c>
      <c r="I870" s="4" t="s">
        <v>19</v>
      </c>
      <c r="J870" s="4" t="str" cm="1">
        <f t="array" ref="J870">_xlfn.IFS(K870&lt;30,"Young Adult",K870&lt;50,"Adult",K870&gt;=50,"Senior")</f>
        <v>Adult</v>
      </c>
      <c r="K870" s="4">
        <v>37</v>
      </c>
      <c r="L870" s="4" t="s">
        <v>20</v>
      </c>
      <c r="M870" s="4">
        <v>3</v>
      </c>
      <c r="N870" s="16">
        <v>500</v>
      </c>
      <c r="O870" s="17">
        <f>M870*N870</f>
        <v>1500</v>
      </c>
      <c r="P870" s="13">
        <f>$O870*$U$4</f>
        <v>22.5</v>
      </c>
      <c r="Q870" s="13">
        <f>$O870*$U$5</f>
        <v>30</v>
      </c>
      <c r="R870" s="13" cm="1">
        <f t="array" ref="R870">_xlfn.IFS(B870=2023,O870*$U$4,B870=2024,O870*$U$5)</f>
        <v>22.5</v>
      </c>
    </row>
    <row r="871" spans="1:18">
      <c r="A871" s="2">
        <v>870</v>
      </c>
      <c r="B871" s="4">
        <f t="shared" si="66"/>
        <v>2023</v>
      </c>
      <c r="C871" s="4">
        <f t="shared" si="67"/>
        <v>7</v>
      </c>
      <c r="D871" s="4">
        <f t="shared" si="68"/>
        <v>8</v>
      </c>
      <c r="E871" s="4" t="str">
        <f t="shared" si="69"/>
        <v>Saturday</v>
      </c>
      <c r="F871" s="4" t="str">
        <f t="shared" si="70"/>
        <v>July</v>
      </c>
      <c r="G871" s="3">
        <v>45115</v>
      </c>
      <c r="H871" s="4" t="s">
        <v>902</v>
      </c>
      <c r="I871" s="4" t="s">
        <v>22</v>
      </c>
      <c r="J871" s="4" t="str" cm="1">
        <f t="array" ref="J871">_xlfn.IFS(K871&lt;30,"Young Adult",K871&lt;50,"Adult",K871&gt;=50,"Senior")</f>
        <v>Adult</v>
      </c>
      <c r="K871" s="4">
        <v>46</v>
      </c>
      <c r="L871" s="4" t="s">
        <v>26</v>
      </c>
      <c r="M871" s="4">
        <v>4</v>
      </c>
      <c r="N871" s="16">
        <v>30</v>
      </c>
      <c r="O871" s="17">
        <f>M871*N871</f>
        <v>120</v>
      </c>
      <c r="P871" s="13">
        <f>$O871*$U$4</f>
        <v>1.7999999999999998</v>
      </c>
      <c r="Q871" s="13">
        <f>$O871*$U$5</f>
        <v>2.4</v>
      </c>
      <c r="R871" s="13" cm="1">
        <f t="array" ref="R871">_xlfn.IFS(B871=2023,O871*$U$4,B871=2024,O871*$U$5)</f>
        <v>1.7999999999999998</v>
      </c>
    </row>
    <row r="872" spans="1:18">
      <c r="A872" s="2">
        <v>871</v>
      </c>
      <c r="B872" s="4">
        <f t="shared" si="66"/>
        <v>2023</v>
      </c>
      <c r="C872" s="4">
        <f t="shared" si="67"/>
        <v>8</v>
      </c>
      <c r="D872" s="4">
        <f t="shared" si="68"/>
        <v>31</v>
      </c>
      <c r="E872" s="4" t="str">
        <f t="shared" si="69"/>
        <v>Thursday</v>
      </c>
      <c r="F872" s="4" t="str">
        <f t="shared" si="70"/>
        <v>August</v>
      </c>
      <c r="G872" s="3">
        <v>45169</v>
      </c>
      <c r="H872" s="4" t="s">
        <v>903</v>
      </c>
      <c r="I872" s="4" t="s">
        <v>19</v>
      </c>
      <c r="J872" s="4" t="str" cm="1">
        <f t="array" ref="J872">_xlfn.IFS(K872&lt;30,"Young Adult",K872&lt;50,"Adult",K872&gt;=50,"Senior")</f>
        <v>Senior</v>
      </c>
      <c r="K872" s="4">
        <v>62</v>
      </c>
      <c r="L872" s="4" t="s">
        <v>20</v>
      </c>
      <c r="M872" s="4">
        <v>2</v>
      </c>
      <c r="N872" s="16">
        <v>30</v>
      </c>
      <c r="O872" s="17">
        <f>M872*N872</f>
        <v>60</v>
      </c>
      <c r="P872" s="13">
        <f>$O872*$U$4</f>
        <v>0.89999999999999991</v>
      </c>
      <c r="Q872" s="13">
        <f>$O872*$U$5</f>
        <v>1.2</v>
      </c>
      <c r="R872" s="13" cm="1">
        <f t="array" ref="R872">_xlfn.IFS(B872=2023,O872*$U$4,B872=2024,O872*$U$5)</f>
        <v>0.89999999999999991</v>
      </c>
    </row>
    <row r="873" spans="1:18">
      <c r="A873" s="2">
        <v>872</v>
      </c>
      <c r="B873" s="4">
        <f t="shared" si="66"/>
        <v>2023</v>
      </c>
      <c r="C873" s="4">
        <f t="shared" si="67"/>
        <v>10</v>
      </c>
      <c r="D873" s="4">
        <f t="shared" si="68"/>
        <v>11</v>
      </c>
      <c r="E873" s="4" t="str">
        <f t="shared" si="69"/>
        <v>Wednesday</v>
      </c>
      <c r="F873" s="4" t="str">
        <f t="shared" si="70"/>
        <v>October</v>
      </c>
      <c r="G873" s="3">
        <v>45210</v>
      </c>
      <c r="H873" s="4" t="s">
        <v>904</v>
      </c>
      <c r="I873" s="4" t="s">
        <v>22</v>
      </c>
      <c r="J873" s="4" t="str" cm="1">
        <f t="array" ref="J873">_xlfn.IFS(K873&lt;30,"Young Adult",K873&lt;50,"Adult",K873&gt;=50,"Senior")</f>
        <v>Senior</v>
      </c>
      <c r="K873" s="4">
        <v>63</v>
      </c>
      <c r="L873" s="4" t="s">
        <v>20</v>
      </c>
      <c r="M873" s="4">
        <v>3</v>
      </c>
      <c r="N873" s="16">
        <v>25</v>
      </c>
      <c r="O873" s="17">
        <f>M873*N873</f>
        <v>75</v>
      </c>
      <c r="P873" s="13">
        <f>$O873*$U$4</f>
        <v>1.125</v>
      </c>
      <c r="Q873" s="13">
        <f>$O873*$U$5</f>
        <v>1.5</v>
      </c>
      <c r="R873" s="13" cm="1">
        <f t="array" ref="R873">_xlfn.IFS(B873=2023,O873*$U$4,B873=2024,O873*$U$5)</f>
        <v>1.125</v>
      </c>
    </row>
    <row r="874" spans="1:18">
      <c r="A874" s="2">
        <v>873</v>
      </c>
      <c r="B874" s="4">
        <f t="shared" si="66"/>
        <v>2023</v>
      </c>
      <c r="C874" s="4">
        <f t="shared" si="67"/>
        <v>9</v>
      </c>
      <c r="D874" s="4">
        <f t="shared" si="68"/>
        <v>29</v>
      </c>
      <c r="E874" s="4" t="str">
        <f t="shared" si="69"/>
        <v>Friday</v>
      </c>
      <c r="F874" s="4" t="str">
        <f t="shared" si="70"/>
        <v>September</v>
      </c>
      <c r="G874" s="3">
        <v>45198</v>
      </c>
      <c r="H874" s="4" t="s">
        <v>905</v>
      </c>
      <c r="I874" s="4" t="s">
        <v>22</v>
      </c>
      <c r="J874" s="4" t="str" cm="1">
        <f t="array" ref="J874">_xlfn.IFS(K874&lt;30,"Young Adult",K874&lt;50,"Adult",K874&gt;=50,"Senior")</f>
        <v>Young Adult</v>
      </c>
      <c r="K874" s="4">
        <v>27</v>
      </c>
      <c r="L874" s="4" t="s">
        <v>26</v>
      </c>
      <c r="M874" s="4">
        <v>4</v>
      </c>
      <c r="N874" s="16">
        <v>25</v>
      </c>
      <c r="O874" s="17">
        <f>M874*N874</f>
        <v>100</v>
      </c>
      <c r="P874" s="13">
        <f>$O874*$U$4</f>
        <v>1.5</v>
      </c>
      <c r="Q874" s="13">
        <f>$O874*$U$5</f>
        <v>2</v>
      </c>
      <c r="R874" s="13" cm="1">
        <f t="array" ref="R874">_xlfn.IFS(B874=2023,O874*$U$4,B874=2024,O874*$U$5)</f>
        <v>1.5</v>
      </c>
    </row>
    <row r="875" spans="1:18">
      <c r="A875" s="2">
        <v>874</v>
      </c>
      <c r="B875" s="4">
        <f t="shared" si="66"/>
        <v>2023</v>
      </c>
      <c r="C875" s="4">
        <f t="shared" si="67"/>
        <v>6</v>
      </c>
      <c r="D875" s="4">
        <f t="shared" si="68"/>
        <v>26</v>
      </c>
      <c r="E875" s="4" t="str">
        <f t="shared" si="69"/>
        <v>Monday</v>
      </c>
      <c r="F875" s="4" t="str">
        <f t="shared" si="70"/>
        <v>June</v>
      </c>
      <c r="G875" s="3">
        <v>45103</v>
      </c>
      <c r="H875" s="4" t="s">
        <v>906</v>
      </c>
      <c r="I875" s="4" t="s">
        <v>19</v>
      </c>
      <c r="J875" s="4" t="str" cm="1">
        <f t="array" ref="J875">_xlfn.IFS(K875&lt;30,"Young Adult",K875&lt;50,"Adult",K875&gt;=50,"Senior")</f>
        <v>Senior</v>
      </c>
      <c r="K875" s="4">
        <v>60</v>
      </c>
      <c r="L875" s="4" t="s">
        <v>20</v>
      </c>
      <c r="M875" s="4">
        <v>1</v>
      </c>
      <c r="N875" s="16">
        <v>30</v>
      </c>
      <c r="O875" s="17">
        <f>M875*N875</f>
        <v>30</v>
      </c>
      <c r="P875" s="13">
        <f>$O875*$U$4</f>
        <v>0.44999999999999996</v>
      </c>
      <c r="Q875" s="13">
        <f>$O875*$U$5</f>
        <v>0.6</v>
      </c>
      <c r="R875" s="13" cm="1">
        <f t="array" ref="R875">_xlfn.IFS(B875=2023,O875*$U$4,B875=2024,O875*$U$5)</f>
        <v>0.44999999999999996</v>
      </c>
    </row>
    <row r="876" spans="1:18">
      <c r="A876" s="2">
        <v>875</v>
      </c>
      <c r="B876" s="4">
        <f t="shared" si="66"/>
        <v>2023</v>
      </c>
      <c r="C876" s="4">
        <f t="shared" si="67"/>
        <v>8</v>
      </c>
      <c r="D876" s="4">
        <f t="shared" si="68"/>
        <v>6</v>
      </c>
      <c r="E876" s="4" t="str">
        <f t="shared" si="69"/>
        <v>Sunday</v>
      </c>
      <c r="F876" s="4" t="str">
        <f t="shared" si="70"/>
        <v>August</v>
      </c>
      <c r="G876" s="3">
        <v>45144</v>
      </c>
      <c r="H876" s="4" t="s">
        <v>907</v>
      </c>
      <c r="I876" s="4" t="s">
        <v>22</v>
      </c>
      <c r="J876" s="4" t="str" cm="1">
        <f t="array" ref="J876">_xlfn.IFS(K876&lt;30,"Young Adult",K876&lt;50,"Adult",K876&gt;=50,"Senior")</f>
        <v>Senior</v>
      </c>
      <c r="K876" s="4">
        <v>51</v>
      </c>
      <c r="L876" s="4" t="s">
        <v>26</v>
      </c>
      <c r="M876" s="4">
        <v>4</v>
      </c>
      <c r="N876" s="16">
        <v>500</v>
      </c>
      <c r="O876" s="17">
        <f>M876*N876</f>
        <v>2000</v>
      </c>
      <c r="P876" s="13">
        <f>$O876*$U$4</f>
        <v>30</v>
      </c>
      <c r="Q876" s="13">
        <f>$O876*$U$5</f>
        <v>40</v>
      </c>
      <c r="R876" s="13" cm="1">
        <f t="array" ref="R876">_xlfn.IFS(B876=2023,O876*$U$4,B876=2024,O876*$U$5)</f>
        <v>30</v>
      </c>
    </row>
    <row r="877" spans="1:18">
      <c r="A877" s="2">
        <v>876</v>
      </c>
      <c r="B877" s="4">
        <f t="shared" si="66"/>
        <v>2023</v>
      </c>
      <c r="C877" s="4">
        <f t="shared" si="67"/>
        <v>10</v>
      </c>
      <c r="D877" s="4">
        <f t="shared" si="68"/>
        <v>9</v>
      </c>
      <c r="E877" s="4" t="str">
        <f t="shared" si="69"/>
        <v>Monday</v>
      </c>
      <c r="F877" s="4" t="str">
        <f t="shared" si="70"/>
        <v>October</v>
      </c>
      <c r="G877" s="3">
        <v>45208</v>
      </c>
      <c r="H877" s="4" t="s">
        <v>908</v>
      </c>
      <c r="I877" s="4" t="s">
        <v>19</v>
      </c>
      <c r="J877" s="4" t="str" cm="1">
        <f t="array" ref="J877">_xlfn.IFS(K877&lt;30,"Young Adult",K877&lt;50,"Adult",K877&gt;=50,"Senior")</f>
        <v>Adult</v>
      </c>
      <c r="K877" s="4">
        <v>43</v>
      </c>
      <c r="L877" s="4" t="s">
        <v>23</v>
      </c>
      <c r="M877" s="4">
        <v>4</v>
      </c>
      <c r="N877" s="16">
        <v>30</v>
      </c>
      <c r="O877" s="17">
        <f>M877*N877</f>
        <v>120</v>
      </c>
      <c r="P877" s="13">
        <f>$O877*$U$4</f>
        <v>1.7999999999999998</v>
      </c>
      <c r="Q877" s="13">
        <f>$O877*$U$5</f>
        <v>2.4</v>
      </c>
      <c r="R877" s="13" cm="1">
        <f t="array" ref="R877">_xlfn.IFS(B877=2023,O877*$U$4,B877=2024,O877*$U$5)</f>
        <v>1.7999999999999998</v>
      </c>
    </row>
    <row r="878" spans="1:18">
      <c r="A878" s="2">
        <v>877</v>
      </c>
      <c r="B878" s="4">
        <f t="shared" si="66"/>
        <v>2023</v>
      </c>
      <c r="C878" s="4">
        <f t="shared" si="67"/>
        <v>6</v>
      </c>
      <c r="D878" s="4">
        <f t="shared" si="68"/>
        <v>19</v>
      </c>
      <c r="E878" s="4" t="str">
        <f t="shared" si="69"/>
        <v>Monday</v>
      </c>
      <c r="F878" s="4" t="str">
        <f t="shared" si="70"/>
        <v>June</v>
      </c>
      <c r="G878" s="3">
        <v>45096</v>
      </c>
      <c r="H878" s="4" t="s">
        <v>909</v>
      </c>
      <c r="I878" s="4" t="s">
        <v>22</v>
      </c>
      <c r="J878" s="4" t="str" cm="1">
        <f t="array" ref="J878">_xlfn.IFS(K878&lt;30,"Young Adult",K878&lt;50,"Adult",K878&gt;=50,"Senior")</f>
        <v>Senior</v>
      </c>
      <c r="K878" s="4">
        <v>58</v>
      </c>
      <c r="L878" s="4" t="s">
        <v>23</v>
      </c>
      <c r="M878" s="4">
        <v>1</v>
      </c>
      <c r="N878" s="16">
        <v>25</v>
      </c>
      <c r="O878" s="17">
        <f>M878*N878</f>
        <v>25</v>
      </c>
      <c r="P878" s="13">
        <f>$O878*$U$4</f>
        <v>0.375</v>
      </c>
      <c r="Q878" s="13">
        <f>$O878*$U$5</f>
        <v>0.5</v>
      </c>
      <c r="R878" s="13" cm="1">
        <f t="array" ref="R878">_xlfn.IFS(B878=2023,O878*$U$4,B878=2024,O878*$U$5)</f>
        <v>0.375</v>
      </c>
    </row>
    <row r="879" spans="1:18">
      <c r="A879" s="2">
        <v>878</v>
      </c>
      <c r="B879" s="4">
        <f t="shared" si="66"/>
        <v>2023</v>
      </c>
      <c r="C879" s="4">
        <f t="shared" si="67"/>
        <v>6</v>
      </c>
      <c r="D879" s="4">
        <f t="shared" si="68"/>
        <v>30</v>
      </c>
      <c r="E879" s="4" t="str">
        <f t="shared" si="69"/>
        <v>Friday</v>
      </c>
      <c r="F879" s="4" t="str">
        <f t="shared" si="70"/>
        <v>June</v>
      </c>
      <c r="G879" s="3">
        <v>45107</v>
      </c>
      <c r="H879" s="4" t="s">
        <v>910</v>
      </c>
      <c r="I879" s="4" t="s">
        <v>22</v>
      </c>
      <c r="J879" s="4" t="str" cm="1">
        <f t="array" ref="J879">_xlfn.IFS(K879&lt;30,"Young Adult",K879&lt;50,"Adult",K879&gt;=50,"Senior")</f>
        <v>Young Adult</v>
      </c>
      <c r="K879" s="4">
        <v>20</v>
      </c>
      <c r="L879" s="4" t="s">
        <v>23</v>
      </c>
      <c r="M879" s="4">
        <v>1</v>
      </c>
      <c r="N879" s="16">
        <v>30</v>
      </c>
      <c r="O879" s="17">
        <f>M879*N879</f>
        <v>30</v>
      </c>
      <c r="P879" s="13">
        <f>$O879*$U$4</f>
        <v>0.44999999999999996</v>
      </c>
      <c r="Q879" s="13">
        <f>$O879*$U$5</f>
        <v>0.6</v>
      </c>
      <c r="R879" s="13" cm="1">
        <f t="array" ref="R879">_xlfn.IFS(B879=2023,O879*$U$4,B879=2024,O879*$U$5)</f>
        <v>0.44999999999999996</v>
      </c>
    </row>
    <row r="880" spans="1:18">
      <c r="A880" s="2">
        <v>879</v>
      </c>
      <c r="B880" s="4">
        <f t="shared" si="66"/>
        <v>2023</v>
      </c>
      <c r="C880" s="4">
        <f t="shared" si="67"/>
        <v>12</v>
      </c>
      <c r="D880" s="4">
        <f t="shared" si="68"/>
        <v>26</v>
      </c>
      <c r="E880" s="4" t="str">
        <f t="shared" si="69"/>
        <v>Tuesday</v>
      </c>
      <c r="F880" s="4" t="str">
        <f t="shared" si="70"/>
        <v>December</v>
      </c>
      <c r="G880" s="3">
        <v>45286</v>
      </c>
      <c r="H880" s="4" t="s">
        <v>911</v>
      </c>
      <c r="I880" s="4" t="s">
        <v>19</v>
      </c>
      <c r="J880" s="4" t="str" cm="1">
        <f t="array" ref="J880">_xlfn.IFS(K880&lt;30,"Young Adult",K880&lt;50,"Adult",K880&gt;=50,"Senior")</f>
        <v>Young Adult</v>
      </c>
      <c r="K880" s="4">
        <v>23</v>
      </c>
      <c r="L880" s="4" t="s">
        <v>23</v>
      </c>
      <c r="M880" s="4">
        <v>1</v>
      </c>
      <c r="N880" s="16">
        <v>30</v>
      </c>
      <c r="O880" s="17">
        <f>M880*N880</f>
        <v>30</v>
      </c>
      <c r="P880" s="13">
        <f>$O880*$U$4</f>
        <v>0.44999999999999996</v>
      </c>
      <c r="Q880" s="13">
        <f>$O880*$U$5</f>
        <v>0.6</v>
      </c>
      <c r="R880" s="13" cm="1">
        <f t="array" ref="R880">_xlfn.IFS(B880=2023,O880*$U$4,B880=2024,O880*$U$5)</f>
        <v>0.44999999999999996</v>
      </c>
    </row>
    <row r="881" spans="1:18">
      <c r="A881" s="2">
        <v>880</v>
      </c>
      <c r="B881" s="4">
        <f t="shared" si="66"/>
        <v>2023</v>
      </c>
      <c r="C881" s="4">
        <f t="shared" si="67"/>
        <v>8</v>
      </c>
      <c r="D881" s="4">
        <f t="shared" si="68"/>
        <v>21</v>
      </c>
      <c r="E881" s="4" t="str">
        <f t="shared" si="69"/>
        <v>Monday</v>
      </c>
      <c r="F881" s="4" t="str">
        <f t="shared" si="70"/>
        <v>August</v>
      </c>
      <c r="G881" s="3">
        <v>45159</v>
      </c>
      <c r="H881" s="4" t="s">
        <v>912</v>
      </c>
      <c r="I881" s="4" t="s">
        <v>19</v>
      </c>
      <c r="J881" s="4" t="str" cm="1">
        <f t="array" ref="J881">_xlfn.IFS(K881&lt;30,"Young Adult",K881&lt;50,"Adult",K881&gt;=50,"Senior")</f>
        <v>Young Adult</v>
      </c>
      <c r="K881" s="4">
        <v>22</v>
      </c>
      <c r="L881" s="4" t="s">
        <v>20</v>
      </c>
      <c r="M881" s="4">
        <v>2</v>
      </c>
      <c r="N881" s="16">
        <v>500</v>
      </c>
      <c r="O881" s="17">
        <f>M881*N881</f>
        <v>1000</v>
      </c>
      <c r="P881" s="13">
        <f>$O881*$U$4</f>
        <v>15</v>
      </c>
      <c r="Q881" s="13">
        <f>$O881*$U$5</f>
        <v>20</v>
      </c>
      <c r="R881" s="13" cm="1">
        <f t="array" ref="R881">_xlfn.IFS(B881=2023,O881*$U$4,B881=2024,O881*$U$5)</f>
        <v>15</v>
      </c>
    </row>
    <row r="882" spans="1:18">
      <c r="A882" s="2">
        <v>881</v>
      </c>
      <c r="B882" s="4">
        <f t="shared" si="66"/>
        <v>2023</v>
      </c>
      <c r="C882" s="4">
        <f t="shared" si="67"/>
        <v>5</v>
      </c>
      <c r="D882" s="4">
        <f t="shared" si="68"/>
        <v>19</v>
      </c>
      <c r="E882" s="4" t="str">
        <f t="shared" si="69"/>
        <v>Friday</v>
      </c>
      <c r="F882" s="4" t="str">
        <f t="shared" si="70"/>
        <v>May</v>
      </c>
      <c r="G882" s="3">
        <v>45065</v>
      </c>
      <c r="H882" s="4" t="s">
        <v>913</v>
      </c>
      <c r="I882" s="4" t="s">
        <v>19</v>
      </c>
      <c r="J882" s="4" t="str" cm="1">
        <f t="array" ref="J882">_xlfn.IFS(K882&lt;30,"Young Adult",K882&lt;50,"Adult",K882&gt;=50,"Senior")</f>
        <v>Young Adult</v>
      </c>
      <c r="K882" s="4">
        <v>22</v>
      </c>
      <c r="L882" s="4" t="s">
        <v>26</v>
      </c>
      <c r="M882" s="4">
        <v>1</v>
      </c>
      <c r="N882" s="16">
        <v>300</v>
      </c>
      <c r="O882" s="17">
        <f>M882*N882</f>
        <v>300</v>
      </c>
      <c r="P882" s="13">
        <f>$O882*$U$4</f>
        <v>4.5</v>
      </c>
      <c r="Q882" s="13">
        <f>$O882*$U$5</f>
        <v>6</v>
      </c>
      <c r="R882" s="13" cm="1">
        <f t="array" ref="R882">_xlfn.IFS(B882=2023,O882*$U$4,B882=2024,O882*$U$5)</f>
        <v>4.5</v>
      </c>
    </row>
    <row r="883" spans="1:18">
      <c r="A883" s="2">
        <v>882</v>
      </c>
      <c r="B883" s="4">
        <f t="shared" si="66"/>
        <v>2023</v>
      </c>
      <c r="C883" s="4">
        <f t="shared" si="67"/>
        <v>6</v>
      </c>
      <c r="D883" s="4">
        <f t="shared" si="68"/>
        <v>6</v>
      </c>
      <c r="E883" s="4" t="str">
        <f t="shared" si="69"/>
        <v>Tuesday</v>
      </c>
      <c r="F883" s="4" t="str">
        <f t="shared" si="70"/>
        <v>June</v>
      </c>
      <c r="G883" s="3">
        <v>45083</v>
      </c>
      <c r="H883" s="4" t="s">
        <v>914</v>
      </c>
      <c r="I883" s="4" t="s">
        <v>22</v>
      </c>
      <c r="J883" s="4" t="str" cm="1">
        <f t="array" ref="J883">_xlfn.IFS(K883&lt;30,"Young Adult",K883&lt;50,"Adult",K883&gt;=50,"Senior")</f>
        <v>Senior</v>
      </c>
      <c r="K883" s="4">
        <v>64</v>
      </c>
      <c r="L883" s="4" t="s">
        <v>26</v>
      </c>
      <c r="M883" s="4">
        <v>2</v>
      </c>
      <c r="N883" s="16">
        <v>25</v>
      </c>
      <c r="O883" s="17">
        <f>M883*N883</f>
        <v>50</v>
      </c>
      <c r="P883" s="13">
        <f>$O883*$U$4</f>
        <v>0.75</v>
      </c>
      <c r="Q883" s="13">
        <f>$O883*$U$5</f>
        <v>1</v>
      </c>
      <c r="R883" s="13" cm="1">
        <f t="array" ref="R883">_xlfn.IFS(B883=2023,O883*$U$4,B883=2024,O883*$U$5)</f>
        <v>0.75</v>
      </c>
    </row>
    <row r="884" spans="1:18">
      <c r="A884" s="2">
        <v>883</v>
      </c>
      <c r="B884" s="4">
        <f t="shared" si="66"/>
        <v>2023</v>
      </c>
      <c r="C884" s="4">
        <f t="shared" si="67"/>
        <v>5</v>
      </c>
      <c r="D884" s="4">
        <f t="shared" si="68"/>
        <v>9</v>
      </c>
      <c r="E884" s="4" t="str">
        <f t="shared" si="69"/>
        <v>Tuesday</v>
      </c>
      <c r="F884" s="4" t="str">
        <f t="shared" si="70"/>
        <v>May</v>
      </c>
      <c r="G884" s="3">
        <v>45055</v>
      </c>
      <c r="H884" s="4" t="s">
        <v>915</v>
      </c>
      <c r="I884" s="4" t="s">
        <v>19</v>
      </c>
      <c r="J884" s="4" t="str" cm="1">
        <f t="array" ref="J884">_xlfn.IFS(K884&lt;30,"Young Adult",K884&lt;50,"Adult",K884&gt;=50,"Senior")</f>
        <v>Adult</v>
      </c>
      <c r="K884" s="4">
        <v>40</v>
      </c>
      <c r="L884" s="4" t="s">
        <v>26</v>
      </c>
      <c r="M884" s="4">
        <v>1</v>
      </c>
      <c r="N884" s="16">
        <v>500</v>
      </c>
      <c r="O884" s="17">
        <f>M884*N884</f>
        <v>500</v>
      </c>
      <c r="P884" s="13">
        <f>$O884*$U$4</f>
        <v>7.5</v>
      </c>
      <c r="Q884" s="13">
        <f>$O884*$U$5</f>
        <v>10</v>
      </c>
      <c r="R884" s="13" cm="1">
        <f t="array" ref="R884">_xlfn.IFS(B884=2023,O884*$U$4,B884=2024,O884*$U$5)</f>
        <v>7.5</v>
      </c>
    </row>
    <row r="885" spans="1:18">
      <c r="A885" s="2">
        <v>884</v>
      </c>
      <c r="B885" s="4">
        <f t="shared" si="66"/>
        <v>2023</v>
      </c>
      <c r="C885" s="4">
        <f t="shared" si="67"/>
        <v>4</v>
      </c>
      <c r="D885" s="4">
        <f t="shared" si="68"/>
        <v>29</v>
      </c>
      <c r="E885" s="4" t="str">
        <f t="shared" si="69"/>
        <v>Saturday</v>
      </c>
      <c r="F885" s="4" t="str">
        <f t="shared" si="70"/>
        <v>April</v>
      </c>
      <c r="G885" s="3">
        <v>45045</v>
      </c>
      <c r="H885" s="4" t="s">
        <v>916</v>
      </c>
      <c r="I885" s="4" t="s">
        <v>22</v>
      </c>
      <c r="J885" s="4" t="str" cm="1">
        <f t="array" ref="J885">_xlfn.IFS(K885&lt;30,"Young Adult",K885&lt;50,"Adult",K885&gt;=50,"Senior")</f>
        <v>Young Adult</v>
      </c>
      <c r="K885" s="4">
        <v>26</v>
      </c>
      <c r="L885" s="4" t="s">
        <v>23</v>
      </c>
      <c r="M885" s="4">
        <v>2</v>
      </c>
      <c r="N885" s="16">
        <v>30</v>
      </c>
      <c r="O885" s="17">
        <f>M885*N885</f>
        <v>60</v>
      </c>
      <c r="P885" s="13">
        <f>$O885*$U$4</f>
        <v>0.89999999999999991</v>
      </c>
      <c r="Q885" s="13">
        <f>$O885*$U$5</f>
        <v>1.2</v>
      </c>
      <c r="R885" s="13" cm="1">
        <f t="array" ref="R885">_xlfn.IFS(B885=2023,O885*$U$4,B885=2024,O885*$U$5)</f>
        <v>0.89999999999999991</v>
      </c>
    </row>
    <row r="886" spans="1:18">
      <c r="A886" s="2">
        <v>885</v>
      </c>
      <c r="B886" s="4">
        <f t="shared" si="66"/>
        <v>2023</v>
      </c>
      <c r="C886" s="4">
        <f t="shared" si="67"/>
        <v>3</v>
      </c>
      <c r="D886" s="4">
        <f t="shared" si="68"/>
        <v>3</v>
      </c>
      <c r="E886" s="4" t="str">
        <f t="shared" si="69"/>
        <v>Friday</v>
      </c>
      <c r="F886" s="4" t="str">
        <f t="shared" si="70"/>
        <v>March</v>
      </c>
      <c r="G886" s="3">
        <v>44988</v>
      </c>
      <c r="H886" s="4" t="s">
        <v>917</v>
      </c>
      <c r="I886" s="4" t="s">
        <v>22</v>
      </c>
      <c r="J886" s="4" t="str" cm="1">
        <f t="array" ref="J886">_xlfn.IFS(K886&lt;30,"Young Adult",K886&lt;50,"Adult",K886&gt;=50,"Senior")</f>
        <v>Senior</v>
      </c>
      <c r="K886" s="4">
        <v>52</v>
      </c>
      <c r="L886" s="4" t="s">
        <v>23</v>
      </c>
      <c r="M886" s="4">
        <v>4</v>
      </c>
      <c r="N886" s="16">
        <v>30</v>
      </c>
      <c r="O886" s="17">
        <f>M886*N886</f>
        <v>120</v>
      </c>
      <c r="P886" s="13">
        <f>$O886*$U$4</f>
        <v>1.7999999999999998</v>
      </c>
      <c r="Q886" s="13">
        <f>$O886*$U$5</f>
        <v>2.4</v>
      </c>
      <c r="R886" s="13" cm="1">
        <f t="array" ref="R886">_xlfn.IFS(B886=2023,O886*$U$4,B886=2024,O886*$U$5)</f>
        <v>1.7999999999999998</v>
      </c>
    </row>
    <row r="887" spans="1:18">
      <c r="A887" s="2">
        <v>886</v>
      </c>
      <c r="B887" s="4">
        <f t="shared" si="66"/>
        <v>2023</v>
      </c>
      <c r="C887" s="4">
        <f t="shared" si="67"/>
        <v>4</v>
      </c>
      <c r="D887" s="4">
        <f t="shared" si="68"/>
        <v>9</v>
      </c>
      <c r="E887" s="4" t="str">
        <f t="shared" si="69"/>
        <v>Sunday</v>
      </c>
      <c r="F887" s="4" t="str">
        <f t="shared" si="70"/>
        <v>April</v>
      </c>
      <c r="G887" s="3">
        <v>45025</v>
      </c>
      <c r="H887" s="4" t="s">
        <v>918</v>
      </c>
      <c r="I887" s="4" t="s">
        <v>19</v>
      </c>
      <c r="J887" s="4" t="str" cm="1">
        <f t="array" ref="J887">_xlfn.IFS(K887&lt;30,"Young Adult",K887&lt;50,"Adult",K887&gt;=50,"Senior")</f>
        <v>Adult</v>
      </c>
      <c r="K887" s="4">
        <v>37</v>
      </c>
      <c r="L887" s="4" t="s">
        <v>26</v>
      </c>
      <c r="M887" s="4">
        <v>3</v>
      </c>
      <c r="N887" s="16">
        <v>300</v>
      </c>
      <c r="O887" s="17">
        <f>M887*N887</f>
        <v>900</v>
      </c>
      <c r="P887" s="13">
        <f>$O887*$U$4</f>
        <v>13.5</v>
      </c>
      <c r="Q887" s="13">
        <f>$O887*$U$5</f>
        <v>18</v>
      </c>
      <c r="R887" s="13" cm="1">
        <f t="array" ref="R887">_xlfn.IFS(B887=2023,O887*$U$4,B887=2024,O887*$U$5)</f>
        <v>13.5</v>
      </c>
    </row>
    <row r="888" spans="1:18">
      <c r="A888" s="2">
        <v>887</v>
      </c>
      <c r="B888" s="4">
        <f t="shared" si="66"/>
        <v>2023</v>
      </c>
      <c r="C888" s="4">
        <f t="shared" si="67"/>
        <v>6</v>
      </c>
      <c r="D888" s="4">
        <f t="shared" si="68"/>
        <v>11</v>
      </c>
      <c r="E888" s="4" t="str">
        <f t="shared" si="69"/>
        <v>Sunday</v>
      </c>
      <c r="F888" s="4" t="str">
        <f t="shared" si="70"/>
        <v>June</v>
      </c>
      <c r="G888" s="3">
        <v>45088</v>
      </c>
      <c r="H888" s="4" t="s">
        <v>919</v>
      </c>
      <c r="I888" s="4" t="s">
        <v>19</v>
      </c>
      <c r="J888" s="4" t="str" cm="1">
        <f t="array" ref="J888">_xlfn.IFS(K888&lt;30,"Young Adult",K888&lt;50,"Adult",K888&gt;=50,"Senior")</f>
        <v>Senior</v>
      </c>
      <c r="K888" s="4">
        <v>59</v>
      </c>
      <c r="L888" s="4" t="s">
        <v>23</v>
      </c>
      <c r="M888" s="4">
        <v>4</v>
      </c>
      <c r="N888" s="16">
        <v>25</v>
      </c>
      <c r="O888" s="17">
        <f>M888*N888</f>
        <v>100</v>
      </c>
      <c r="P888" s="13">
        <f>$O888*$U$4</f>
        <v>1.5</v>
      </c>
      <c r="Q888" s="13">
        <f>$O888*$U$5</f>
        <v>2</v>
      </c>
      <c r="R888" s="13" cm="1">
        <f t="array" ref="R888">_xlfn.IFS(B888=2023,O888*$U$4,B888=2024,O888*$U$5)</f>
        <v>1.5</v>
      </c>
    </row>
    <row r="889" spans="1:18">
      <c r="A889" s="2">
        <v>888</v>
      </c>
      <c r="B889" s="4">
        <f t="shared" si="66"/>
        <v>2023</v>
      </c>
      <c r="C889" s="4">
        <f t="shared" si="67"/>
        <v>3</v>
      </c>
      <c r="D889" s="4">
        <f t="shared" si="68"/>
        <v>3</v>
      </c>
      <c r="E889" s="4" t="str">
        <f t="shared" si="69"/>
        <v>Friday</v>
      </c>
      <c r="F889" s="4" t="str">
        <f t="shared" si="70"/>
        <v>March</v>
      </c>
      <c r="G889" s="3">
        <v>44988</v>
      </c>
      <c r="H889" s="4" t="s">
        <v>920</v>
      </c>
      <c r="I889" s="4" t="s">
        <v>22</v>
      </c>
      <c r="J889" s="4" t="str" cm="1">
        <f t="array" ref="J889">_xlfn.IFS(K889&lt;30,"Young Adult",K889&lt;50,"Adult",K889&gt;=50,"Senior")</f>
        <v>Senior</v>
      </c>
      <c r="K889" s="4">
        <v>52</v>
      </c>
      <c r="L889" s="4" t="s">
        <v>26</v>
      </c>
      <c r="M889" s="4">
        <v>4</v>
      </c>
      <c r="N889" s="16">
        <v>25</v>
      </c>
      <c r="O889" s="17">
        <f>M889*N889</f>
        <v>100</v>
      </c>
      <c r="P889" s="13">
        <f>$O889*$U$4</f>
        <v>1.5</v>
      </c>
      <c r="Q889" s="13">
        <f>$O889*$U$5</f>
        <v>2</v>
      </c>
      <c r="R889" s="13" cm="1">
        <f t="array" ref="R889">_xlfn.IFS(B889=2023,O889*$U$4,B889=2024,O889*$U$5)</f>
        <v>1.5</v>
      </c>
    </row>
    <row r="890" spans="1:18">
      <c r="A890" s="2">
        <v>889</v>
      </c>
      <c r="B890" s="4">
        <f t="shared" si="66"/>
        <v>2023</v>
      </c>
      <c r="C890" s="4">
        <f t="shared" si="67"/>
        <v>10</v>
      </c>
      <c r="D890" s="4">
        <f t="shared" si="68"/>
        <v>2</v>
      </c>
      <c r="E890" s="4" t="str">
        <f t="shared" si="69"/>
        <v>Monday</v>
      </c>
      <c r="F890" s="4" t="str">
        <f t="shared" si="70"/>
        <v>October</v>
      </c>
      <c r="G890" s="3">
        <v>45201</v>
      </c>
      <c r="H890" s="4" t="s">
        <v>921</v>
      </c>
      <c r="I890" s="4" t="s">
        <v>22</v>
      </c>
      <c r="J890" s="4" t="str" cm="1">
        <f t="array" ref="J890">_xlfn.IFS(K890&lt;30,"Young Adult",K890&lt;50,"Adult",K890&gt;=50,"Senior")</f>
        <v>Adult</v>
      </c>
      <c r="K890" s="4">
        <v>35</v>
      </c>
      <c r="L890" s="4" t="s">
        <v>26</v>
      </c>
      <c r="M890" s="4">
        <v>1</v>
      </c>
      <c r="N890" s="16">
        <v>50</v>
      </c>
      <c r="O890" s="17">
        <f>M890*N890</f>
        <v>50</v>
      </c>
      <c r="P890" s="13">
        <f>$O890*$U$4</f>
        <v>0.75</v>
      </c>
      <c r="Q890" s="13">
        <f>$O890*$U$5</f>
        <v>1</v>
      </c>
      <c r="R890" s="13" cm="1">
        <f t="array" ref="R890">_xlfn.IFS(B890=2023,O890*$U$4,B890=2024,O890*$U$5)</f>
        <v>0.75</v>
      </c>
    </row>
    <row r="891" spans="1:18">
      <c r="A891" s="2">
        <v>890</v>
      </c>
      <c r="B891" s="4">
        <f t="shared" si="66"/>
        <v>2023</v>
      </c>
      <c r="C891" s="4">
        <f t="shared" si="67"/>
        <v>12</v>
      </c>
      <c r="D891" s="4">
        <f t="shared" si="68"/>
        <v>20</v>
      </c>
      <c r="E891" s="4" t="str">
        <f t="shared" si="69"/>
        <v>Wednesday</v>
      </c>
      <c r="F891" s="4" t="str">
        <f t="shared" si="70"/>
        <v>December</v>
      </c>
      <c r="G891" s="3">
        <v>45280</v>
      </c>
      <c r="H891" s="4" t="s">
        <v>922</v>
      </c>
      <c r="I891" s="4" t="s">
        <v>19</v>
      </c>
      <c r="J891" s="4" t="str" cm="1">
        <f t="array" ref="J891">_xlfn.IFS(K891&lt;30,"Young Adult",K891&lt;50,"Adult",K891&gt;=50,"Senior")</f>
        <v>Adult</v>
      </c>
      <c r="K891" s="4">
        <v>34</v>
      </c>
      <c r="L891" s="4" t="s">
        <v>26</v>
      </c>
      <c r="M891" s="4">
        <v>2</v>
      </c>
      <c r="N891" s="16">
        <v>25</v>
      </c>
      <c r="O891" s="17">
        <f>M891*N891</f>
        <v>50</v>
      </c>
      <c r="P891" s="13">
        <f>$O891*$U$4</f>
        <v>0.75</v>
      </c>
      <c r="Q891" s="13">
        <f>$O891*$U$5</f>
        <v>1</v>
      </c>
      <c r="R891" s="13" cm="1">
        <f t="array" ref="R891">_xlfn.IFS(B891=2023,O891*$U$4,B891=2024,O891*$U$5)</f>
        <v>0.75</v>
      </c>
    </row>
    <row r="892" spans="1:18">
      <c r="A892" s="2">
        <v>891</v>
      </c>
      <c r="B892" s="4">
        <f t="shared" si="66"/>
        <v>2023</v>
      </c>
      <c r="C892" s="4">
        <f t="shared" si="67"/>
        <v>4</v>
      </c>
      <c r="D892" s="4">
        <f t="shared" si="68"/>
        <v>5</v>
      </c>
      <c r="E892" s="4" t="str">
        <f t="shared" si="69"/>
        <v>Wednesday</v>
      </c>
      <c r="F892" s="4" t="str">
        <f t="shared" si="70"/>
        <v>April</v>
      </c>
      <c r="G892" s="3">
        <v>45021</v>
      </c>
      <c r="H892" s="4" t="s">
        <v>923</v>
      </c>
      <c r="I892" s="4" t="s">
        <v>19</v>
      </c>
      <c r="J892" s="4" t="str" cm="1">
        <f t="array" ref="J892">_xlfn.IFS(K892&lt;30,"Young Adult",K892&lt;50,"Adult",K892&gt;=50,"Senior")</f>
        <v>Adult</v>
      </c>
      <c r="K892" s="4">
        <v>41</v>
      </c>
      <c r="L892" s="4" t="s">
        <v>26</v>
      </c>
      <c r="M892" s="4">
        <v>3</v>
      </c>
      <c r="N892" s="16">
        <v>300</v>
      </c>
      <c r="O892" s="17">
        <f>M892*N892</f>
        <v>900</v>
      </c>
      <c r="P892" s="13">
        <f>$O892*$U$4</f>
        <v>13.5</v>
      </c>
      <c r="Q892" s="13">
        <f>$O892*$U$5</f>
        <v>18</v>
      </c>
      <c r="R892" s="13" cm="1">
        <f t="array" ref="R892">_xlfn.IFS(B892=2023,O892*$U$4,B892=2024,O892*$U$5)</f>
        <v>13.5</v>
      </c>
    </row>
    <row r="893" spans="1:18">
      <c r="A893" s="2">
        <v>892</v>
      </c>
      <c r="B893" s="4">
        <f t="shared" si="66"/>
        <v>2023</v>
      </c>
      <c r="C893" s="4">
        <f t="shared" si="67"/>
        <v>4</v>
      </c>
      <c r="D893" s="4">
        <f t="shared" si="68"/>
        <v>9</v>
      </c>
      <c r="E893" s="4" t="str">
        <f t="shared" si="69"/>
        <v>Sunday</v>
      </c>
      <c r="F893" s="4" t="str">
        <f t="shared" si="70"/>
        <v>April</v>
      </c>
      <c r="G893" s="3">
        <v>45025</v>
      </c>
      <c r="H893" s="4" t="s">
        <v>924</v>
      </c>
      <c r="I893" s="4" t="s">
        <v>19</v>
      </c>
      <c r="J893" s="4" t="str" cm="1">
        <f t="array" ref="J893">_xlfn.IFS(K893&lt;30,"Young Adult",K893&lt;50,"Adult",K893&gt;=50,"Senior")</f>
        <v>Young Adult</v>
      </c>
      <c r="K893" s="4">
        <v>20</v>
      </c>
      <c r="L893" s="4" t="s">
        <v>26</v>
      </c>
      <c r="M893" s="4">
        <v>1</v>
      </c>
      <c r="N893" s="16">
        <v>50</v>
      </c>
      <c r="O893" s="17">
        <f>M893*N893</f>
        <v>50</v>
      </c>
      <c r="P893" s="13">
        <f>$O893*$U$4</f>
        <v>0.75</v>
      </c>
      <c r="Q893" s="13">
        <f>$O893*$U$5</f>
        <v>1</v>
      </c>
      <c r="R893" s="13" cm="1">
        <f t="array" ref="R893">_xlfn.IFS(B893=2023,O893*$U$4,B893=2024,O893*$U$5)</f>
        <v>0.75</v>
      </c>
    </row>
    <row r="894" spans="1:18">
      <c r="A894" s="2">
        <v>893</v>
      </c>
      <c r="B894" s="4">
        <f t="shared" si="66"/>
        <v>2023</v>
      </c>
      <c r="C894" s="4">
        <f t="shared" si="67"/>
        <v>4</v>
      </c>
      <c r="D894" s="4">
        <f t="shared" si="68"/>
        <v>21</v>
      </c>
      <c r="E894" s="4" t="str">
        <f t="shared" si="69"/>
        <v>Friday</v>
      </c>
      <c r="F894" s="4" t="str">
        <f t="shared" si="70"/>
        <v>April</v>
      </c>
      <c r="G894" s="3">
        <v>45037</v>
      </c>
      <c r="H894" s="4" t="s">
        <v>925</v>
      </c>
      <c r="I894" s="4" t="s">
        <v>19</v>
      </c>
      <c r="J894" s="4" t="str" cm="1">
        <f t="array" ref="J894">_xlfn.IFS(K894&lt;30,"Young Adult",K894&lt;50,"Adult",K894&gt;=50,"Senior")</f>
        <v>Adult</v>
      </c>
      <c r="K894" s="4">
        <v>49</v>
      </c>
      <c r="L894" s="4" t="s">
        <v>26</v>
      </c>
      <c r="M894" s="4">
        <v>1</v>
      </c>
      <c r="N894" s="16">
        <v>50</v>
      </c>
      <c r="O894" s="17">
        <f>M894*N894</f>
        <v>50</v>
      </c>
      <c r="P894" s="13">
        <f>$O894*$U$4</f>
        <v>0.75</v>
      </c>
      <c r="Q894" s="13">
        <f>$O894*$U$5</f>
        <v>1</v>
      </c>
      <c r="R894" s="13" cm="1">
        <f t="array" ref="R894">_xlfn.IFS(B894=2023,O894*$U$4,B894=2024,O894*$U$5)</f>
        <v>0.75</v>
      </c>
    </row>
    <row r="895" spans="1:18">
      <c r="A895" s="2">
        <v>894</v>
      </c>
      <c r="B895" s="4">
        <f t="shared" si="66"/>
        <v>2023</v>
      </c>
      <c r="C895" s="4">
        <f t="shared" si="67"/>
        <v>9</v>
      </c>
      <c r="D895" s="4">
        <f t="shared" si="68"/>
        <v>5</v>
      </c>
      <c r="E895" s="4" t="str">
        <f t="shared" si="69"/>
        <v>Tuesday</v>
      </c>
      <c r="F895" s="4" t="str">
        <f t="shared" si="70"/>
        <v>September</v>
      </c>
      <c r="G895" s="3">
        <v>45174</v>
      </c>
      <c r="H895" s="4" t="s">
        <v>926</v>
      </c>
      <c r="I895" s="4" t="s">
        <v>19</v>
      </c>
      <c r="J895" s="4" t="str" cm="1">
        <f t="array" ref="J895">_xlfn.IFS(K895&lt;30,"Young Adult",K895&lt;50,"Adult",K895&gt;=50,"Senior")</f>
        <v>Senior</v>
      </c>
      <c r="K895" s="4">
        <v>52</v>
      </c>
      <c r="L895" s="4" t="s">
        <v>26</v>
      </c>
      <c r="M895" s="4">
        <v>1</v>
      </c>
      <c r="N895" s="16">
        <v>30</v>
      </c>
      <c r="O895" s="17">
        <f>M895*N895</f>
        <v>30</v>
      </c>
      <c r="P895" s="13">
        <f>$O895*$U$4</f>
        <v>0.44999999999999996</v>
      </c>
      <c r="Q895" s="13">
        <f>$O895*$U$5</f>
        <v>0.6</v>
      </c>
      <c r="R895" s="13" cm="1">
        <f t="array" ref="R895">_xlfn.IFS(B895=2023,O895*$U$4,B895=2024,O895*$U$5)</f>
        <v>0.44999999999999996</v>
      </c>
    </row>
    <row r="896" spans="1:18">
      <c r="A896" s="2">
        <v>895</v>
      </c>
      <c r="B896" s="4">
        <f t="shared" si="66"/>
        <v>2023</v>
      </c>
      <c r="C896" s="4">
        <f t="shared" si="67"/>
        <v>5</v>
      </c>
      <c r="D896" s="4">
        <f t="shared" si="68"/>
        <v>22</v>
      </c>
      <c r="E896" s="4" t="str">
        <f t="shared" si="69"/>
        <v>Monday</v>
      </c>
      <c r="F896" s="4" t="str">
        <f t="shared" si="70"/>
        <v>May</v>
      </c>
      <c r="G896" s="3">
        <v>45068</v>
      </c>
      <c r="H896" s="4" t="s">
        <v>927</v>
      </c>
      <c r="I896" s="4" t="s">
        <v>22</v>
      </c>
      <c r="J896" s="4" t="str" cm="1">
        <f t="array" ref="J896">_xlfn.IFS(K896&lt;30,"Young Adult",K896&lt;50,"Adult",K896&gt;=50,"Senior")</f>
        <v>Senior</v>
      </c>
      <c r="K896" s="4">
        <v>55</v>
      </c>
      <c r="L896" s="4" t="s">
        <v>23</v>
      </c>
      <c r="M896" s="4">
        <v>4</v>
      </c>
      <c r="N896" s="16">
        <v>30</v>
      </c>
      <c r="O896" s="17">
        <f>M896*N896</f>
        <v>120</v>
      </c>
      <c r="P896" s="13">
        <f>$O896*$U$4</f>
        <v>1.7999999999999998</v>
      </c>
      <c r="Q896" s="13">
        <f>$O896*$U$5</f>
        <v>2.4</v>
      </c>
      <c r="R896" s="13" cm="1">
        <f t="array" ref="R896">_xlfn.IFS(B896=2023,O896*$U$4,B896=2024,O896*$U$5)</f>
        <v>1.7999999999999998</v>
      </c>
    </row>
    <row r="897" spans="1:18">
      <c r="A897" s="2">
        <v>896</v>
      </c>
      <c r="B897" s="4">
        <f t="shared" si="66"/>
        <v>2023</v>
      </c>
      <c r="C897" s="4">
        <f t="shared" si="67"/>
        <v>10</v>
      </c>
      <c r="D897" s="4">
        <f t="shared" si="68"/>
        <v>29</v>
      </c>
      <c r="E897" s="4" t="str">
        <f t="shared" si="69"/>
        <v>Sunday</v>
      </c>
      <c r="F897" s="4" t="str">
        <f t="shared" si="70"/>
        <v>October</v>
      </c>
      <c r="G897" s="3">
        <v>45228</v>
      </c>
      <c r="H897" s="4" t="s">
        <v>928</v>
      </c>
      <c r="I897" s="4" t="s">
        <v>22</v>
      </c>
      <c r="J897" s="4" t="str" cm="1">
        <f t="array" ref="J897">_xlfn.IFS(K897&lt;30,"Young Adult",K897&lt;50,"Adult",K897&gt;=50,"Senior")</f>
        <v>Adult</v>
      </c>
      <c r="K897" s="4">
        <v>30</v>
      </c>
      <c r="L897" s="4" t="s">
        <v>26</v>
      </c>
      <c r="M897" s="4">
        <v>2</v>
      </c>
      <c r="N897" s="16">
        <v>25</v>
      </c>
      <c r="O897" s="17">
        <f>M897*N897</f>
        <v>50</v>
      </c>
      <c r="P897" s="13">
        <f>$O897*$U$4</f>
        <v>0.75</v>
      </c>
      <c r="Q897" s="13">
        <f>$O897*$U$5</f>
        <v>1</v>
      </c>
      <c r="R897" s="13" cm="1">
        <f t="array" ref="R897">_xlfn.IFS(B897=2023,O897*$U$4,B897=2024,O897*$U$5)</f>
        <v>0.75</v>
      </c>
    </row>
    <row r="898" spans="1:18">
      <c r="A898" s="2">
        <v>897</v>
      </c>
      <c r="B898" s="4">
        <f t="shared" si="66"/>
        <v>2023</v>
      </c>
      <c r="C898" s="4">
        <f t="shared" si="67"/>
        <v>9</v>
      </c>
      <c r="D898" s="4">
        <f t="shared" si="68"/>
        <v>26</v>
      </c>
      <c r="E898" s="4" t="str">
        <f t="shared" si="69"/>
        <v>Tuesday</v>
      </c>
      <c r="F898" s="4" t="str">
        <f t="shared" si="70"/>
        <v>September</v>
      </c>
      <c r="G898" s="3">
        <v>45195</v>
      </c>
      <c r="H898" s="4" t="s">
        <v>929</v>
      </c>
      <c r="I898" s="4" t="s">
        <v>22</v>
      </c>
      <c r="J898" s="4" t="str" cm="1">
        <f t="array" ref="J898">_xlfn.IFS(K898&lt;30,"Young Adult",K898&lt;50,"Adult",K898&gt;=50,"Senior")</f>
        <v>Senior</v>
      </c>
      <c r="K898" s="4">
        <v>64</v>
      </c>
      <c r="L898" s="4" t="s">
        <v>26</v>
      </c>
      <c r="M898" s="4">
        <v>2</v>
      </c>
      <c r="N898" s="16">
        <v>50</v>
      </c>
      <c r="O898" s="17">
        <f>M898*N898</f>
        <v>100</v>
      </c>
      <c r="P898" s="13">
        <f>$O898*$U$4</f>
        <v>1.5</v>
      </c>
      <c r="Q898" s="13">
        <f>$O898*$U$5</f>
        <v>2</v>
      </c>
      <c r="R898" s="13" cm="1">
        <f t="array" ref="R898">_xlfn.IFS(B898=2023,O898*$U$4,B898=2024,O898*$U$5)</f>
        <v>1.5</v>
      </c>
    </row>
    <row r="899" spans="1:18">
      <c r="A899" s="2">
        <v>898</v>
      </c>
      <c r="B899" s="4">
        <f t="shared" ref="B899:B962" si="71">YEAR(G899)</f>
        <v>2023</v>
      </c>
      <c r="C899" s="4">
        <f t="shared" ref="C899:C962" si="72">MONTH(G899)</f>
        <v>11</v>
      </c>
      <c r="D899" s="4">
        <f t="shared" ref="D899:D962" si="73">DAY(G899)</f>
        <v>2</v>
      </c>
      <c r="E899" s="4" t="str">
        <f t="shared" ref="E899:E962" si="74">TEXT(G899,"dddd")</f>
        <v>Thursday</v>
      </c>
      <c r="F899" s="4" t="str">
        <f t="shared" ref="F899:F962" si="75">TEXT(G899,"mmmm")</f>
        <v>November</v>
      </c>
      <c r="G899" s="3">
        <v>45232</v>
      </c>
      <c r="H899" s="4" t="s">
        <v>930</v>
      </c>
      <c r="I899" s="4" t="s">
        <v>22</v>
      </c>
      <c r="J899" s="4" t="str" cm="1">
        <f t="array" ref="J899">_xlfn.IFS(K899&lt;30,"Young Adult",K899&lt;50,"Adult",K899&gt;=50,"Senior")</f>
        <v>Adult</v>
      </c>
      <c r="K899" s="4">
        <v>42</v>
      </c>
      <c r="L899" s="4" t="s">
        <v>23</v>
      </c>
      <c r="M899" s="4">
        <v>3</v>
      </c>
      <c r="N899" s="16">
        <v>30</v>
      </c>
      <c r="O899" s="17">
        <f>M899*N899</f>
        <v>90</v>
      </c>
      <c r="P899" s="13">
        <f>$O899*$U$4</f>
        <v>1.3499999999999999</v>
      </c>
      <c r="Q899" s="13">
        <f>$O899*$U$5</f>
        <v>1.8</v>
      </c>
      <c r="R899" s="13" cm="1">
        <f t="array" ref="R899">_xlfn.IFS(B899=2023,O899*$U$4,B899=2024,O899*$U$5)</f>
        <v>1.3499999999999999</v>
      </c>
    </row>
    <row r="900" spans="1:18">
      <c r="A900" s="2">
        <v>899</v>
      </c>
      <c r="B900" s="4">
        <f t="shared" si="71"/>
        <v>2023</v>
      </c>
      <c r="C900" s="4">
        <f t="shared" si="72"/>
        <v>5</v>
      </c>
      <c r="D900" s="4">
        <f t="shared" si="73"/>
        <v>25</v>
      </c>
      <c r="E900" s="4" t="str">
        <f t="shared" si="74"/>
        <v>Thursday</v>
      </c>
      <c r="F900" s="4" t="str">
        <f t="shared" si="75"/>
        <v>May</v>
      </c>
      <c r="G900" s="3">
        <v>45071</v>
      </c>
      <c r="H900" s="4" t="s">
        <v>931</v>
      </c>
      <c r="I900" s="4" t="s">
        <v>19</v>
      </c>
      <c r="J900" s="4" t="str" cm="1">
        <f t="array" ref="J900">_xlfn.IFS(K900&lt;30,"Young Adult",K900&lt;50,"Adult",K900&gt;=50,"Senior")</f>
        <v>Young Adult</v>
      </c>
      <c r="K900" s="4">
        <v>26</v>
      </c>
      <c r="L900" s="4" t="s">
        <v>23</v>
      </c>
      <c r="M900" s="4">
        <v>2</v>
      </c>
      <c r="N900" s="16">
        <v>300</v>
      </c>
      <c r="O900" s="17">
        <f>M900*N900</f>
        <v>600</v>
      </c>
      <c r="P900" s="13">
        <f>$O900*$U$4</f>
        <v>9</v>
      </c>
      <c r="Q900" s="13">
        <f>$O900*$U$5</f>
        <v>12</v>
      </c>
      <c r="R900" s="13" cm="1">
        <f t="array" ref="R900">_xlfn.IFS(B900=2023,O900*$U$4,B900=2024,O900*$U$5)</f>
        <v>9</v>
      </c>
    </row>
    <row r="901" spans="1:18">
      <c r="A901" s="2">
        <v>900</v>
      </c>
      <c r="B901" s="4">
        <f t="shared" si="71"/>
        <v>2023</v>
      </c>
      <c r="C901" s="4">
        <f t="shared" si="72"/>
        <v>2</v>
      </c>
      <c r="D901" s="4">
        <f t="shared" si="73"/>
        <v>21</v>
      </c>
      <c r="E901" s="4" t="str">
        <f t="shared" si="74"/>
        <v>Tuesday</v>
      </c>
      <c r="F901" s="4" t="str">
        <f t="shared" si="75"/>
        <v>February</v>
      </c>
      <c r="G901" s="3">
        <v>44978</v>
      </c>
      <c r="H901" s="4" t="s">
        <v>932</v>
      </c>
      <c r="I901" s="4" t="s">
        <v>19</v>
      </c>
      <c r="J901" s="4" t="str" cm="1">
        <f t="array" ref="J901">_xlfn.IFS(K901&lt;30,"Young Adult",K901&lt;50,"Adult",K901&gt;=50,"Senior")</f>
        <v>Young Adult</v>
      </c>
      <c r="K901" s="4">
        <v>21</v>
      </c>
      <c r="L901" s="4" t="s">
        <v>23</v>
      </c>
      <c r="M901" s="4">
        <v>2</v>
      </c>
      <c r="N901" s="16">
        <v>30</v>
      </c>
      <c r="O901" s="17">
        <f>M901*N901</f>
        <v>60</v>
      </c>
      <c r="P901" s="13">
        <f>$O901*$U$4</f>
        <v>0.89999999999999991</v>
      </c>
      <c r="Q901" s="13">
        <f>$O901*$U$5</f>
        <v>1.2</v>
      </c>
      <c r="R901" s="13" cm="1">
        <f t="array" ref="R901">_xlfn.IFS(B901=2023,O901*$U$4,B901=2024,O901*$U$5)</f>
        <v>0.89999999999999991</v>
      </c>
    </row>
    <row r="902" spans="1:18">
      <c r="A902" s="2">
        <v>901</v>
      </c>
      <c r="B902" s="4">
        <f t="shared" si="71"/>
        <v>2023</v>
      </c>
      <c r="C902" s="4">
        <f t="shared" si="72"/>
        <v>4</v>
      </c>
      <c r="D902" s="4">
        <f t="shared" si="73"/>
        <v>10</v>
      </c>
      <c r="E902" s="4" t="str">
        <f t="shared" si="74"/>
        <v>Monday</v>
      </c>
      <c r="F902" s="4" t="str">
        <f t="shared" si="75"/>
        <v>April</v>
      </c>
      <c r="G902" s="3">
        <v>45026</v>
      </c>
      <c r="H902" s="4" t="s">
        <v>933</v>
      </c>
      <c r="I902" s="4" t="s">
        <v>19</v>
      </c>
      <c r="J902" s="4" t="str" cm="1">
        <f t="array" ref="J902">_xlfn.IFS(K902&lt;30,"Young Adult",K902&lt;50,"Adult",K902&gt;=50,"Senior")</f>
        <v>Adult</v>
      </c>
      <c r="K902" s="4">
        <v>31</v>
      </c>
      <c r="L902" s="4" t="s">
        <v>26</v>
      </c>
      <c r="M902" s="4">
        <v>1</v>
      </c>
      <c r="N902" s="16">
        <v>30</v>
      </c>
      <c r="O902" s="17">
        <f>M902*N902</f>
        <v>30</v>
      </c>
      <c r="P902" s="13">
        <f>$O902*$U$4</f>
        <v>0.44999999999999996</v>
      </c>
      <c r="Q902" s="13">
        <f>$O902*$U$5</f>
        <v>0.6</v>
      </c>
      <c r="R902" s="13" cm="1">
        <f t="array" ref="R902">_xlfn.IFS(B902=2023,O902*$U$4,B902=2024,O902*$U$5)</f>
        <v>0.44999999999999996</v>
      </c>
    </row>
    <row r="903" spans="1:18">
      <c r="A903" s="2">
        <v>902</v>
      </c>
      <c r="B903" s="4">
        <f t="shared" si="71"/>
        <v>2023</v>
      </c>
      <c r="C903" s="4">
        <f t="shared" si="72"/>
        <v>6</v>
      </c>
      <c r="D903" s="4">
        <f t="shared" si="73"/>
        <v>1</v>
      </c>
      <c r="E903" s="4" t="str">
        <f t="shared" si="74"/>
        <v>Thursday</v>
      </c>
      <c r="F903" s="4" t="str">
        <f t="shared" si="75"/>
        <v>June</v>
      </c>
      <c r="G903" s="3">
        <v>45078</v>
      </c>
      <c r="H903" s="4" t="s">
        <v>934</v>
      </c>
      <c r="I903" s="4" t="s">
        <v>22</v>
      </c>
      <c r="J903" s="4" t="str" cm="1">
        <f t="array" ref="J903">_xlfn.IFS(K903&lt;30,"Young Adult",K903&lt;50,"Adult",K903&gt;=50,"Senior")</f>
        <v>Senior</v>
      </c>
      <c r="K903" s="4">
        <v>54</v>
      </c>
      <c r="L903" s="4" t="s">
        <v>20</v>
      </c>
      <c r="M903" s="4">
        <v>1</v>
      </c>
      <c r="N903" s="16">
        <v>50</v>
      </c>
      <c r="O903" s="17">
        <f>M903*N903</f>
        <v>50</v>
      </c>
      <c r="P903" s="13">
        <f>$O903*$U$4</f>
        <v>0.75</v>
      </c>
      <c r="Q903" s="13">
        <f>$O903*$U$5</f>
        <v>1</v>
      </c>
      <c r="R903" s="13" cm="1">
        <f t="array" ref="R903">_xlfn.IFS(B903=2023,O903*$U$4,B903=2024,O903*$U$5)</f>
        <v>0.75</v>
      </c>
    </row>
    <row r="904" spans="1:18">
      <c r="A904" s="2">
        <v>903</v>
      </c>
      <c r="B904" s="4">
        <f t="shared" si="71"/>
        <v>2023</v>
      </c>
      <c r="C904" s="4">
        <f t="shared" si="72"/>
        <v>4</v>
      </c>
      <c r="D904" s="4">
        <f t="shared" si="73"/>
        <v>27</v>
      </c>
      <c r="E904" s="4" t="str">
        <f t="shared" si="74"/>
        <v>Thursday</v>
      </c>
      <c r="F904" s="4" t="str">
        <f t="shared" si="75"/>
        <v>April</v>
      </c>
      <c r="G904" s="3">
        <v>45043</v>
      </c>
      <c r="H904" s="4" t="s">
        <v>935</v>
      </c>
      <c r="I904" s="4" t="s">
        <v>22</v>
      </c>
      <c r="J904" s="4" t="str" cm="1">
        <f t="array" ref="J904">_xlfn.IFS(K904&lt;30,"Young Adult",K904&lt;50,"Adult",K904&gt;=50,"Senior")</f>
        <v>Senior</v>
      </c>
      <c r="K904" s="4">
        <v>51</v>
      </c>
      <c r="L904" s="4" t="s">
        <v>20</v>
      </c>
      <c r="M904" s="4">
        <v>4</v>
      </c>
      <c r="N904" s="16">
        <v>50</v>
      </c>
      <c r="O904" s="17">
        <f>M904*N904</f>
        <v>200</v>
      </c>
      <c r="P904" s="13">
        <f>$O904*$U$4</f>
        <v>3</v>
      </c>
      <c r="Q904" s="13">
        <f>$O904*$U$5</f>
        <v>4</v>
      </c>
      <c r="R904" s="13" cm="1">
        <f t="array" ref="R904">_xlfn.IFS(B904=2023,O904*$U$4,B904=2024,O904*$U$5)</f>
        <v>3</v>
      </c>
    </row>
    <row r="905" spans="1:18">
      <c r="A905" s="2">
        <v>904</v>
      </c>
      <c r="B905" s="4">
        <f t="shared" si="71"/>
        <v>2023</v>
      </c>
      <c r="C905" s="4">
        <f t="shared" si="72"/>
        <v>7</v>
      </c>
      <c r="D905" s="4">
        <f t="shared" si="73"/>
        <v>4</v>
      </c>
      <c r="E905" s="4" t="str">
        <f t="shared" si="74"/>
        <v>Tuesday</v>
      </c>
      <c r="F905" s="4" t="str">
        <f t="shared" si="75"/>
        <v>July</v>
      </c>
      <c r="G905" s="3">
        <v>45111</v>
      </c>
      <c r="H905" s="4" t="s">
        <v>936</v>
      </c>
      <c r="I905" s="4" t="s">
        <v>19</v>
      </c>
      <c r="J905" s="4" t="str" cm="1">
        <f t="array" ref="J905">_xlfn.IFS(K905&lt;30,"Young Adult",K905&lt;50,"Adult",K905&gt;=50,"Senior")</f>
        <v>Young Adult</v>
      </c>
      <c r="K905" s="4">
        <v>28</v>
      </c>
      <c r="L905" s="4" t="s">
        <v>23</v>
      </c>
      <c r="M905" s="4">
        <v>1</v>
      </c>
      <c r="N905" s="16">
        <v>500</v>
      </c>
      <c r="O905" s="17">
        <f>M905*N905</f>
        <v>500</v>
      </c>
      <c r="P905" s="13">
        <f>$O905*$U$4</f>
        <v>7.5</v>
      </c>
      <c r="Q905" s="13">
        <f>$O905*$U$5</f>
        <v>10</v>
      </c>
      <c r="R905" s="13" cm="1">
        <f t="array" ref="R905">_xlfn.IFS(B905=2023,O905*$U$4,B905=2024,O905*$U$5)</f>
        <v>7.5</v>
      </c>
    </row>
    <row r="906" spans="1:18">
      <c r="A906" s="2">
        <v>905</v>
      </c>
      <c r="B906" s="4">
        <f t="shared" si="71"/>
        <v>2023</v>
      </c>
      <c r="C906" s="4">
        <f t="shared" si="72"/>
        <v>4</v>
      </c>
      <c r="D906" s="4">
        <f t="shared" si="73"/>
        <v>2</v>
      </c>
      <c r="E906" s="4" t="str">
        <f t="shared" si="74"/>
        <v>Sunday</v>
      </c>
      <c r="F906" s="4" t="str">
        <f t="shared" si="75"/>
        <v>April</v>
      </c>
      <c r="G906" s="3">
        <v>45018</v>
      </c>
      <c r="H906" s="4" t="s">
        <v>937</v>
      </c>
      <c r="I906" s="4" t="s">
        <v>19</v>
      </c>
      <c r="J906" s="4" t="str" cm="1">
        <f t="array" ref="J906">_xlfn.IFS(K906&lt;30,"Young Adult",K906&lt;50,"Adult",K906&gt;=50,"Senior")</f>
        <v>Senior</v>
      </c>
      <c r="K906" s="4">
        <v>58</v>
      </c>
      <c r="L906" s="4" t="s">
        <v>20</v>
      </c>
      <c r="M906" s="4">
        <v>1</v>
      </c>
      <c r="N906" s="16">
        <v>300</v>
      </c>
      <c r="O906" s="17">
        <f>M906*N906</f>
        <v>300</v>
      </c>
      <c r="P906" s="13">
        <f>$O906*$U$4</f>
        <v>4.5</v>
      </c>
      <c r="Q906" s="13">
        <f>$O906*$U$5</f>
        <v>6</v>
      </c>
      <c r="R906" s="13" cm="1">
        <f t="array" ref="R906">_xlfn.IFS(B906=2023,O906*$U$4,B906=2024,O906*$U$5)</f>
        <v>4.5</v>
      </c>
    </row>
    <row r="907" spans="1:18">
      <c r="A907" s="2">
        <v>906</v>
      </c>
      <c r="B907" s="4">
        <f t="shared" si="71"/>
        <v>2023</v>
      </c>
      <c r="C907" s="4">
        <f t="shared" si="72"/>
        <v>6</v>
      </c>
      <c r="D907" s="4">
        <f t="shared" si="73"/>
        <v>4</v>
      </c>
      <c r="E907" s="4" t="str">
        <f t="shared" si="74"/>
        <v>Sunday</v>
      </c>
      <c r="F907" s="4" t="str">
        <f t="shared" si="75"/>
        <v>June</v>
      </c>
      <c r="G907" s="3">
        <v>45081</v>
      </c>
      <c r="H907" s="4" t="s">
        <v>938</v>
      </c>
      <c r="I907" s="4" t="s">
        <v>22</v>
      </c>
      <c r="J907" s="4" t="str" cm="1">
        <f t="array" ref="J907">_xlfn.IFS(K907&lt;30,"Young Adult",K907&lt;50,"Adult",K907&gt;=50,"Senior")</f>
        <v>Young Adult</v>
      </c>
      <c r="K907" s="4">
        <v>20</v>
      </c>
      <c r="L907" s="4" t="s">
        <v>23</v>
      </c>
      <c r="M907" s="4">
        <v>1</v>
      </c>
      <c r="N907" s="16">
        <v>50</v>
      </c>
      <c r="O907" s="17">
        <f>M907*N907</f>
        <v>50</v>
      </c>
      <c r="P907" s="13">
        <f>$O907*$U$4</f>
        <v>0.75</v>
      </c>
      <c r="Q907" s="13">
        <f>$O907*$U$5</f>
        <v>1</v>
      </c>
      <c r="R907" s="13" cm="1">
        <f t="array" ref="R907">_xlfn.IFS(B907=2023,O907*$U$4,B907=2024,O907*$U$5)</f>
        <v>0.75</v>
      </c>
    </row>
    <row r="908" spans="1:18">
      <c r="A908" s="2">
        <v>907</v>
      </c>
      <c r="B908" s="4">
        <f t="shared" si="71"/>
        <v>2023</v>
      </c>
      <c r="C908" s="4">
        <f t="shared" si="72"/>
        <v>1</v>
      </c>
      <c r="D908" s="4">
        <f t="shared" si="73"/>
        <v>8</v>
      </c>
      <c r="E908" s="4" t="str">
        <f t="shared" si="74"/>
        <v>Sunday</v>
      </c>
      <c r="F908" s="4" t="str">
        <f t="shared" si="75"/>
        <v>January</v>
      </c>
      <c r="G908" s="3">
        <v>44934</v>
      </c>
      <c r="H908" s="4" t="s">
        <v>939</v>
      </c>
      <c r="I908" s="4" t="s">
        <v>22</v>
      </c>
      <c r="J908" s="4" t="str" cm="1">
        <f t="array" ref="J908">_xlfn.IFS(K908&lt;30,"Young Adult",K908&lt;50,"Adult",K908&gt;=50,"Senior")</f>
        <v>Adult</v>
      </c>
      <c r="K908" s="4">
        <v>45</v>
      </c>
      <c r="L908" s="4" t="s">
        <v>26</v>
      </c>
      <c r="M908" s="4">
        <v>1</v>
      </c>
      <c r="N908" s="16">
        <v>25</v>
      </c>
      <c r="O908" s="17">
        <f>M908*N908</f>
        <v>25</v>
      </c>
      <c r="P908" s="13">
        <f>$O908*$U$4</f>
        <v>0.375</v>
      </c>
      <c r="Q908" s="13">
        <f>$O908*$U$5</f>
        <v>0.5</v>
      </c>
      <c r="R908" s="13" cm="1">
        <f t="array" ref="R908">_xlfn.IFS(B908=2023,O908*$U$4,B908=2024,O908*$U$5)</f>
        <v>0.375</v>
      </c>
    </row>
    <row r="909" spans="1:18">
      <c r="A909" s="2">
        <v>908</v>
      </c>
      <c r="B909" s="4">
        <f t="shared" si="71"/>
        <v>2023</v>
      </c>
      <c r="C909" s="4">
        <f t="shared" si="72"/>
        <v>12</v>
      </c>
      <c r="D909" s="4">
        <f t="shared" si="73"/>
        <v>29</v>
      </c>
      <c r="E909" s="4" t="str">
        <f t="shared" si="74"/>
        <v>Friday</v>
      </c>
      <c r="F909" s="4" t="str">
        <f t="shared" si="75"/>
        <v>December</v>
      </c>
      <c r="G909" s="3">
        <v>45289</v>
      </c>
      <c r="H909" s="4" t="s">
        <v>940</v>
      </c>
      <c r="I909" s="4" t="s">
        <v>19</v>
      </c>
      <c r="J909" s="4" t="str" cm="1">
        <f t="array" ref="J909">_xlfn.IFS(K909&lt;30,"Young Adult",K909&lt;50,"Adult",K909&gt;=50,"Senior")</f>
        <v>Adult</v>
      </c>
      <c r="K909" s="4">
        <v>46</v>
      </c>
      <c r="L909" s="4" t="s">
        <v>20</v>
      </c>
      <c r="M909" s="4">
        <v>4</v>
      </c>
      <c r="N909" s="16">
        <v>300</v>
      </c>
      <c r="O909" s="17">
        <f>M909*N909</f>
        <v>1200</v>
      </c>
      <c r="P909" s="13">
        <f>$O909*$U$4</f>
        <v>18</v>
      </c>
      <c r="Q909" s="13">
        <f>$O909*$U$5</f>
        <v>24</v>
      </c>
      <c r="R909" s="13" cm="1">
        <f t="array" ref="R909">_xlfn.IFS(B909=2023,O909*$U$4,B909=2024,O909*$U$5)</f>
        <v>18</v>
      </c>
    </row>
    <row r="910" spans="1:18">
      <c r="A910" s="2">
        <v>909</v>
      </c>
      <c r="B910" s="4">
        <f t="shared" si="71"/>
        <v>2023</v>
      </c>
      <c r="C910" s="4">
        <f t="shared" si="72"/>
        <v>10</v>
      </c>
      <c r="D910" s="4">
        <f t="shared" si="73"/>
        <v>1</v>
      </c>
      <c r="E910" s="4" t="str">
        <f t="shared" si="74"/>
        <v>Sunday</v>
      </c>
      <c r="F910" s="4" t="str">
        <f t="shared" si="75"/>
        <v>October</v>
      </c>
      <c r="G910" s="3">
        <v>45200</v>
      </c>
      <c r="H910" s="4" t="s">
        <v>941</v>
      </c>
      <c r="I910" s="4" t="s">
        <v>19</v>
      </c>
      <c r="J910" s="4" t="str" cm="1">
        <f t="array" ref="J910">_xlfn.IFS(K910&lt;30,"Young Adult",K910&lt;50,"Adult",K910&gt;=50,"Senior")</f>
        <v>Young Adult</v>
      </c>
      <c r="K910" s="4">
        <v>26</v>
      </c>
      <c r="L910" s="4" t="s">
        <v>26</v>
      </c>
      <c r="M910" s="4">
        <v>1</v>
      </c>
      <c r="N910" s="16">
        <v>300</v>
      </c>
      <c r="O910" s="17">
        <f>M910*N910</f>
        <v>300</v>
      </c>
      <c r="P910" s="13">
        <f>$O910*$U$4</f>
        <v>4.5</v>
      </c>
      <c r="Q910" s="13">
        <f>$O910*$U$5</f>
        <v>6</v>
      </c>
      <c r="R910" s="13" cm="1">
        <f t="array" ref="R910">_xlfn.IFS(B910=2023,O910*$U$4,B910=2024,O910*$U$5)</f>
        <v>4.5</v>
      </c>
    </row>
    <row r="911" spans="1:18">
      <c r="A911" s="2">
        <v>910</v>
      </c>
      <c r="B911" s="4">
        <f t="shared" si="71"/>
        <v>2023</v>
      </c>
      <c r="C911" s="4">
        <f t="shared" si="72"/>
        <v>3</v>
      </c>
      <c r="D911" s="4">
        <f t="shared" si="73"/>
        <v>6</v>
      </c>
      <c r="E911" s="4" t="str">
        <f t="shared" si="74"/>
        <v>Monday</v>
      </c>
      <c r="F911" s="4" t="str">
        <f t="shared" si="75"/>
        <v>March</v>
      </c>
      <c r="G911" s="3">
        <v>44991</v>
      </c>
      <c r="H911" s="4" t="s">
        <v>942</v>
      </c>
      <c r="I911" s="4" t="s">
        <v>22</v>
      </c>
      <c r="J911" s="4" t="str" cm="1">
        <f t="array" ref="J911">_xlfn.IFS(K911&lt;30,"Young Adult",K911&lt;50,"Adult",K911&gt;=50,"Senior")</f>
        <v>Young Adult</v>
      </c>
      <c r="K911" s="4">
        <v>20</v>
      </c>
      <c r="L911" s="4" t="s">
        <v>20</v>
      </c>
      <c r="M911" s="4">
        <v>3</v>
      </c>
      <c r="N911" s="16">
        <v>50</v>
      </c>
      <c r="O911" s="17">
        <f>M911*N911</f>
        <v>150</v>
      </c>
      <c r="P911" s="13">
        <f>$O911*$U$4</f>
        <v>2.25</v>
      </c>
      <c r="Q911" s="13">
        <f>$O911*$U$5</f>
        <v>3</v>
      </c>
      <c r="R911" s="13" cm="1">
        <f t="array" ref="R911">_xlfn.IFS(B911=2023,O911*$U$4,B911=2024,O911*$U$5)</f>
        <v>2.25</v>
      </c>
    </row>
    <row r="912" spans="1:18">
      <c r="A912" s="2">
        <v>911</v>
      </c>
      <c r="B912" s="4">
        <f t="shared" si="71"/>
        <v>2023</v>
      </c>
      <c r="C912" s="4">
        <f t="shared" si="72"/>
        <v>5</v>
      </c>
      <c r="D912" s="4">
        <f t="shared" si="73"/>
        <v>21</v>
      </c>
      <c r="E912" s="4" t="str">
        <f t="shared" si="74"/>
        <v>Sunday</v>
      </c>
      <c r="F912" s="4" t="str">
        <f t="shared" si="75"/>
        <v>May</v>
      </c>
      <c r="G912" s="3">
        <v>45067</v>
      </c>
      <c r="H912" s="4" t="s">
        <v>943</v>
      </c>
      <c r="I912" s="4" t="s">
        <v>19</v>
      </c>
      <c r="J912" s="4" t="str" cm="1">
        <f t="array" ref="J912">_xlfn.IFS(K912&lt;30,"Young Adult",K912&lt;50,"Adult",K912&gt;=50,"Senior")</f>
        <v>Adult</v>
      </c>
      <c r="K912" s="4">
        <v>42</v>
      </c>
      <c r="L912" s="4" t="s">
        <v>26</v>
      </c>
      <c r="M912" s="4">
        <v>3</v>
      </c>
      <c r="N912" s="16">
        <v>300</v>
      </c>
      <c r="O912" s="17">
        <f>M912*N912</f>
        <v>900</v>
      </c>
      <c r="P912" s="13">
        <f>$O912*$U$4</f>
        <v>13.5</v>
      </c>
      <c r="Q912" s="13">
        <f>$O912*$U$5</f>
        <v>18</v>
      </c>
      <c r="R912" s="13" cm="1">
        <f t="array" ref="R912">_xlfn.IFS(B912=2023,O912*$U$4,B912=2024,O912*$U$5)</f>
        <v>13.5</v>
      </c>
    </row>
    <row r="913" spans="1:18">
      <c r="A913" s="2">
        <v>912</v>
      </c>
      <c r="B913" s="4">
        <f t="shared" si="71"/>
        <v>2023</v>
      </c>
      <c r="C913" s="4">
        <f t="shared" si="72"/>
        <v>1</v>
      </c>
      <c r="D913" s="4">
        <f t="shared" si="73"/>
        <v>24</v>
      </c>
      <c r="E913" s="4" t="str">
        <f t="shared" si="74"/>
        <v>Tuesday</v>
      </c>
      <c r="F913" s="4" t="str">
        <f t="shared" si="75"/>
        <v>January</v>
      </c>
      <c r="G913" s="3">
        <v>44950</v>
      </c>
      <c r="H913" s="4" t="s">
        <v>944</v>
      </c>
      <c r="I913" s="4" t="s">
        <v>19</v>
      </c>
      <c r="J913" s="4" t="str" cm="1">
        <f t="array" ref="J913">_xlfn.IFS(K913&lt;30,"Young Adult",K913&lt;50,"Adult",K913&gt;=50,"Senior")</f>
        <v>Senior</v>
      </c>
      <c r="K913" s="4">
        <v>51</v>
      </c>
      <c r="L913" s="4" t="s">
        <v>20</v>
      </c>
      <c r="M913" s="4">
        <v>3</v>
      </c>
      <c r="N913" s="16">
        <v>50</v>
      </c>
      <c r="O913" s="17">
        <f>M913*N913</f>
        <v>150</v>
      </c>
      <c r="P913" s="13">
        <f>$O913*$U$4</f>
        <v>2.25</v>
      </c>
      <c r="Q913" s="13">
        <f>$O913*$U$5</f>
        <v>3</v>
      </c>
      <c r="R913" s="13" cm="1">
        <f t="array" ref="R913">_xlfn.IFS(B913=2023,O913*$U$4,B913=2024,O913*$U$5)</f>
        <v>2.25</v>
      </c>
    </row>
    <row r="914" spans="1:18">
      <c r="A914" s="2">
        <v>913</v>
      </c>
      <c r="B914" s="4">
        <f t="shared" si="71"/>
        <v>2023</v>
      </c>
      <c r="C914" s="4">
        <f t="shared" si="72"/>
        <v>1</v>
      </c>
      <c r="D914" s="4">
        <f t="shared" si="73"/>
        <v>28</v>
      </c>
      <c r="E914" s="4" t="str">
        <f t="shared" si="74"/>
        <v>Saturday</v>
      </c>
      <c r="F914" s="4" t="str">
        <f t="shared" si="75"/>
        <v>January</v>
      </c>
      <c r="G914" s="3">
        <v>44954</v>
      </c>
      <c r="H914" s="4" t="s">
        <v>945</v>
      </c>
      <c r="I914" s="4" t="s">
        <v>19</v>
      </c>
      <c r="J914" s="4" t="str" cm="1">
        <f t="array" ref="J914">_xlfn.IFS(K914&lt;30,"Young Adult",K914&lt;50,"Adult",K914&gt;=50,"Senior")</f>
        <v>Young Adult</v>
      </c>
      <c r="K914" s="4">
        <v>29</v>
      </c>
      <c r="L914" s="4" t="s">
        <v>26</v>
      </c>
      <c r="M914" s="4">
        <v>3</v>
      </c>
      <c r="N914" s="16">
        <v>30</v>
      </c>
      <c r="O914" s="17">
        <f>M914*N914</f>
        <v>90</v>
      </c>
      <c r="P914" s="13">
        <f>$O914*$U$4</f>
        <v>1.3499999999999999</v>
      </c>
      <c r="Q914" s="13">
        <f>$O914*$U$5</f>
        <v>1.8</v>
      </c>
      <c r="R914" s="13" cm="1">
        <f t="array" ref="R914">_xlfn.IFS(B914=2023,O914*$U$4,B914=2024,O914*$U$5)</f>
        <v>1.3499999999999999</v>
      </c>
    </row>
    <row r="915" spans="1:18">
      <c r="A915" s="2">
        <v>914</v>
      </c>
      <c r="B915" s="4">
        <f t="shared" si="71"/>
        <v>2023</v>
      </c>
      <c r="C915" s="4">
        <f t="shared" si="72"/>
        <v>10</v>
      </c>
      <c r="D915" s="4">
        <f t="shared" si="73"/>
        <v>11</v>
      </c>
      <c r="E915" s="4" t="str">
        <f t="shared" si="74"/>
        <v>Wednesday</v>
      </c>
      <c r="F915" s="4" t="str">
        <f t="shared" si="75"/>
        <v>October</v>
      </c>
      <c r="G915" s="3">
        <v>45210</v>
      </c>
      <c r="H915" s="4" t="s">
        <v>946</v>
      </c>
      <c r="I915" s="4" t="s">
        <v>22</v>
      </c>
      <c r="J915" s="4" t="str" cm="1">
        <f t="array" ref="J915">_xlfn.IFS(K915&lt;30,"Young Adult",K915&lt;50,"Adult",K915&gt;=50,"Senior")</f>
        <v>Senior</v>
      </c>
      <c r="K915" s="4">
        <v>59</v>
      </c>
      <c r="L915" s="4" t="s">
        <v>26</v>
      </c>
      <c r="M915" s="4">
        <v>1</v>
      </c>
      <c r="N915" s="16">
        <v>500</v>
      </c>
      <c r="O915" s="17">
        <f>M915*N915</f>
        <v>500</v>
      </c>
      <c r="P915" s="13">
        <f>$O915*$U$4</f>
        <v>7.5</v>
      </c>
      <c r="Q915" s="13">
        <f>$O915*$U$5</f>
        <v>10</v>
      </c>
      <c r="R915" s="13" cm="1">
        <f t="array" ref="R915">_xlfn.IFS(B915=2023,O915*$U$4,B915=2024,O915*$U$5)</f>
        <v>7.5</v>
      </c>
    </row>
    <row r="916" spans="1:18">
      <c r="A916" s="2">
        <v>915</v>
      </c>
      <c r="B916" s="4">
        <f t="shared" si="71"/>
        <v>2023</v>
      </c>
      <c r="C916" s="4">
        <f t="shared" si="72"/>
        <v>5</v>
      </c>
      <c r="D916" s="4">
        <f t="shared" si="73"/>
        <v>30</v>
      </c>
      <c r="E916" s="4" t="str">
        <f t="shared" si="74"/>
        <v>Tuesday</v>
      </c>
      <c r="F916" s="4" t="str">
        <f t="shared" si="75"/>
        <v>May</v>
      </c>
      <c r="G916" s="3">
        <v>45076</v>
      </c>
      <c r="H916" s="4" t="s">
        <v>947</v>
      </c>
      <c r="I916" s="4" t="s">
        <v>22</v>
      </c>
      <c r="J916" s="4" t="str" cm="1">
        <f t="array" ref="J916">_xlfn.IFS(K916&lt;30,"Young Adult",K916&lt;50,"Adult",K916&gt;=50,"Senior")</f>
        <v>Young Adult</v>
      </c>
      <c r="K916" s="4">
        <v>26</v>
      </c>
      <c r="L916" s="4" t="s">
        <v>20</v>
      </c>
      <c r="M916" s="4">
        <v>3</v>
      </c>
      <c r="N916" s="16">
        <v>30</v>
      </c>
      <c r="O916" s="17">
        <f>M916*N916</f>
        <v>90</v>
      </c>
      <c r="P916" s="13">
        <f>$O916*$U$4</f>
        <v>1.3499999999999999</v>
      </c>
      <c r="Q916" s="13">
        <f>$O916*$U$5</f>
        <v>1.8</v>
      </c>
      <c r="R916" s="13" cm="1">
        <f t="array" ref="R916">_xlfn.IFS(B916=2023,O916*$U$4,B916=2024,O916*$U$5)</f>
        <v>1.3499999999999999</v>
      </c>
    </row>
    <row r="917" spans="1:18">
      <c r="A917" s="2">
        <v>916</v>
      </c>
      <c r="B917" s="4">
        <f t="shared" si="71"/>
        <v>2023</v>
      </c>
      <c r="C917" s="4">
        <f t="shared" si="72"/>
        <v>12</v>
      </c>
      <c r="D917" s="4">
        <f t="shared" si="73"/>
        <v>24</v>
      </c>
      <c r="E917" s="4" t="str">
        <f t="shared" si="74"/>
        <v>Sunday</v>
      </c>
      <c r="F917" s="4" t="str">
        <f t="shared" si="75"/>
        <v>December</v>
      </c>
      <c r="G917" s="3">
        <v>45284</v>
      </c>
      <c r="H917" s="4" t="s">
        <v>948</v>
      </c>
      <c r="I917" s="4" t="s">
        <v>22</v>
      </c>
      <c r="J917" s="4" t="str" cm="1">
        <f t="array" ref="J917">_xlfn.IFS(K917&lt;30,"Young Adult",K917&lt;50,"Adult",K917&gt;=50,"Senior")</f>
        <v>Adult</v>
      </c>
      <c r="K917" s="4">
        <v>32</v>
      </c>
      <c r="L917" s="4" t="s">
        <v>26</v>
      </c>
      <c r="M917" s="4">
        <v>1</v>
      </c>
      <c r="N917" s="16">
        <v>50</v>
      </c>
      <c r="O917" s="17">
        <f>M917*N917</f>
        <v>50</v>
      </c>
      <c r="P917" s="13">
        <f>$O917*$U$4</f>
        <v>0.75</v>
      </c>
      <c r="Q917" s="13">
        <f>$O917*$U$5</f>
        <v>1</v>
      </c>
      <c r="R917" s="13" cm="1">
        <f t="array" ref="R917">_xlfn.IFS(B917=2023,O917*$U$4,B917=2024,O917*$U$5)</f>
        <v>0.75</v>
      </c>
    </row>
    <row r="918" spans="1:18">
      <c r="A918" s="2">
        <v>917</v>
      </c>
      <c r="B918" s="4">
        <f t="shared" si="71"/>
        <v>2023</v>
      </c>
      <c r="C918" s="4">
        <f t="shared" si="72"/>
        <v>3</v>
      </c>
      <c r="D918" s="4">
        <f t="shared" si="73"/>
        <v>6</v>
      </c>
      <c r="E918" s="4" t="str">
        <f t="shared" si="74"/>
        <v>Monday</v>
      </c>
      <c r="F918" s="4" t="str">
        <f t="shared" si="75"/>
        <v>March</v>
      </c>
      <c r="G918" s="3">
        <v>44991</v>
      </c>
      <c r="H918" s="4" t="s">
        <v>949</v>
      </c>
      <c r="I918" s="4" t="s">
        <v>22</v>
      </c>
      <c r="J918" s="4" t="str" cm="1">
        <f t="array" ref="J918">_xlfn.IFS(K918&lt;30,"Young Adult",K918&lt;50,"Adult",K918&gt;=50,"Senior")</f>
        <v>Senior</v>
      </c>
      <c r="K918" s="4">
        <v>57</v>
      </c>
      <c r="L918" s="4" t="s">
        <v>26</v>
      </c>
      <c r="M918" s="4">
        <v>4</v>
      </c>
      <c r="N918" s="16">
        <v>50</v>
      </c>
      <c r="O918" s="17">
        <f>M918*N918</f>
        <v>200</v>
      </c>
      <c r="P918" s="13">
        <f>$O918*$U$4</f>
        <v>3</v>
      </c>
      <c r="Q918" s="13">
        <f>$O918*$U$5</f>
        <v>4</v>
      </c>
      <c r="R918" s="13" cm="1">
        <f t="array" ref="R918">_xlfn.IFS(B918=2023,O918*$U$4,B918=2024,O918*$U$5)</f>
        <v>3</v>
      </c>
    </row>
    <row r="919" spans="1:18">
      <c r="A919" s="2">
        <v>918</v>
      </c>
      <c r="B919" s="4">
        <f t="shared" si="71"/>
        <v>2023</v>
      </c>
      <c r="C919" s="4">
        <f t="shared" si="72"/>
        <v>11</v>
      </c>
      <c r="D919" s="4">
        <f t="shared" si="73"/>
        <v>23</v>
      </c>
      <c r="E919" s="4" t="str">
        <f t="shared" si="74"/>
        <v>Thursday</v>
      </c>
      <c r="F919" s="4" t="str">
        <f t="shared" si="75"/>
        <v>November</v>
      </c>
      <c r="G919" s="3">
        <v>45253</v>
      </c>
      <c r="H919" s="4" t="s">
        <v>950</v>
      </c>
      <c r="I919" s="4" t="s">
        <v>22</v>
      </c>
      <c r="J919" s="4" t="str" cm="1">
        <f t="array" ref="J919">_xlfn.IFS(K919&lt;30,"Young Adult",K919&lt;50,"Adult",K919&gt;=50,"Senior")</f>
        <v>Adult</v>
      </c>
      <c r="K919" s="4">
        <v>42</v>
      </c>
      <c r="L919" s="4" t="s">
        <v>26</v>
      </c>
      <c r="M919" s="4">
        <v>3</v>
      </c>
      <c r="N919" s="16">
        <v>30</v>
      </c>
      <c r="O919" s="17">
        <f>M919*N919</f>
        <v>90</v>
      </c>
      <c r="P919" s="13">
        <f>$O919*$U$4</f>
        <v>1.3499999999999999</v>
      </c>
      <c r="Q919" s="13">
        <f>$O919*$U$5</f>
        <v>1.8</v>
      </c>
      <c r="R919" s="13" cm="1">
        <f t="array" ref="R919">_xlfn.IFS(B919=2023,O919*$U$4,B919=2024,O919*$U$5)</f>
        <v>1.3499999999999999</v>
      </c>
    </row>
    <row r="920" spans="1:18">
      <c r="A920" s="2">
        <v>919</v>
      </c>
      <c r="B920" s="4">
        <f t="shared" si="71"/>
        <v>2023</v>
      </c>
      <c r="C920" s="4">
        <f t="shared" si="72"/>
        <v>9</v>
      </c>
      <c r="D920" s="4">
        <f t="shared" si="73"/>
        <v>9</v>
      </c>
      <c r="E920" s="4" t="str">
        <f t="shared" si="74"/>
        <v>Saturday</v>
      </c>
      <c r="F920" s="4" t="str">
        <f t="shared" si="75"/>
        <v>September</v>
      </c>
      <c r="G920" s="3">
        <v>45178</v>
      </c>
      <c r="H920" s="4" t="s">
        <v>951</v>
      </c>
      <c r="I920" s="4" t="s">
        <v>22</v>
      </c>
      <c r="J920" s="4" t="str" cm="1">
        <f t="array" ref="J920">_xlfn.IFS(K920&lt;30,"Young Adult",K920&lt;50,"Adult",K920&gt;=50,"Senior")</f>
        <v>Young Adult</v>
      </c>
      <c r="K920" s="4">
        <v>22</v>
      </c>
      <c r="L920" s="4" t="s">
        <v>20</v>
      </c>
      <c r="M920" s="4">
        <v>2</v>
      </c>
      <c r="N920" s="16">
        <v>25</v>
      </c>
      <c r="O920" s="17">
        <f>M920*N920</f>
        <v>50</v>
      </c>
      <c r="P920" s="13">
        <f>$O920*$U$4</f>
        <v>0.75</v>
      </c>
      <c r="Q920" s="13">
        <f>$O920*$U$5</f>
        <v>1</v>
      </c>
      <c r="R920" s="13" cm="1">
        <f t="array" ref="R920">_xlfn.IFS(B920=2023,O920*$U$4,B920=2024,O920*$U$5)</f>
        <v>0.75</v>
      </c>
    </row>
    <row r="921" spans="1:18">
      <c r="A921" s="2">
        <v>920</v>
      </c>
      <c r="B921" s="4">
        <f t="shared" si="71"/>
        <v>2023</v>
      </c>
      <c r="C921" s="4">
        <f t="shared" si="72"/>
        <v>2</v>
      </c>
      <c r="D921" s="4">
        <f t="shared" si="73"/>
        <v>22</v>
      </c>
      <c r="E921" s="4" t="str">
        <f t="shared" si="74"/>
        <v>Wednesday</v>
      </c>
      <c r="F921" s="4" t="str">
        <f t="shared" si="75"/>
        <v>February</v>
      </c>
      <c r="G921" s="3">
        <v>44979</v>
      </c>
      <c r="H921" s="4" t="s">
        <v>952</v>
      </c>
      <c r="I921" s="4" t="s">
        <v>22</v>
      </c>
      <c r="J921" s="4" t="str" cm="1">
        <f t="array" ref="J921">_xlfn.IFS(K921&lt;30,"Young Adult",K921&lt;50,"Adult",K921&gt;=50,"Senior")</f>
        <v>Young Adult</v>
      </c>
      <c r="K921" s="4">
        <v>28</v>
      </c>
      <c r="L921" s="4" t="s">
        <v>20</v>
      </c>
      <c r="M921" s="4">
        <v>3</v>
      </c>
      <c r="N921" s="16">
        <v>25</v>
      </c>
      <c r="O921" s="17">
        <f>M921*N921</f>
        <v>75</v>
      </c>
      <c r="P921" s="13">
        <f>$O921*$U$4</f>
        <v>1.125</v>
      </c>
      <c r="Q921" s="13">
        <f>$O921*$U$5</f>
        <v>1.5</v>
      </c>
      <c r="R921" s="13" cm="1">
        <f t="array" ref="R921">_xlfn.IFS(B921=2023,O921*$U$4,B921=2024,O921*$U$5)</f>
        <v>1.125</v>
      </c>
    </row>
    <row r="922" spans="1:18">
      <c r="A922" s="2">
        <v>921</v>
      </c>
      <c r="B922" s="4">
        <f t="shared" si="71"/>
        <v>2023</v>
      </c>
      <c r="C922" s="4">
        <f t="shared" si="72"/>
        <v>1</v>
      </c>
      <c r="D922" s="4">
        <f t="shared" si="73"/>
        <v>7</v>
      </c>
      <c r="E922" s="4" t="str">
        <f t="shared" si="74"/>
        <v>Saturday</v>
      </c>
      <c r="F922" s="4" t="str">
        <f t="shared" si="75"/>
        <v>January</v>
      </c>
      <c r="G922" s="3">
        <v>44933</v>
      </c>
      <c r="H922" s="4" t="s">
        <v>953</v>
      </c>
      <c r="I922" s="4" t="s">
        <v>19</v>
      </c>
      <c r="J922" s="4" t="str" cm="1">
        <f t="array" ref="J922">_xlfn.IFS(K922&lt;30,"Young Adult",K922&lt;50,"Adult",K922&gt;=50,"Senior")</f>
        <v>Senior</v>
      </c>
      <c r="K922" s="4">
        <v>51</v>
      </c>
      <c r="L922" s="4" t="s">
        <v>26</v>
      </c>
      <c r="M922" s="4">
        <v>3</v>
      </c>
      <c r="N922" s="16">
        <v>25</v>
      </c>
      <c r="O922" s="17">
        <f>M922*N922</f>
        <v>75</v>
      </c>
      <c r="P922" s="13">
        <f>$O922*$U$4</f>
        <v>1.125</v>
      </c>
      <c r="Q922" s="13">
        <f>$O922*$U$5</f>
        <v>1.5</v>
      </c>
      <c r="R922" s="13" cm="1">
        <f t="array" ref="R922">_xlfn.IFS(B922=2023,O922*$U$4,B922=2024,O922*$U$5)</f>
        <v>1.125</v>
      </c>
    </row>
    <row r="923" spans="1:18">
      <c r="A923" s="2">
        <v>922</v>
      </c>
      <c r="B923" s="4">
        <f t="shared" si="71"/>
        <v>2023</v>
      </c>
      <c r="C923" s="4">
        <f t="shared" si="72"/>
        <v>10</v>
      </c>
      <c r="D923" s="4">
        <f t="shared" si="73"/>
        <v>21</v>
      </c>
      <c r="E923" s="4" t="str">
        <f t="shared" si="74"/>
        <v>Saturday</v>
      </c>
      <c r="F923" s="4" t="str">
        <f t="shared" si="75"/>
        <v>October</v>
      </c>
      <c r="G923" s="3">
        <v>45220</v>
      </c>
      <c r="H923" s="4" t="s">
        <v>954</v>
      </c>
      <c r="I923" s="4" t="s">
        <v>19</v>
      </c>
      <c r="J923" s="4" t="str" cm="1">
        <f t="array" ref="J923">_xlfn.IFS(K923&lt;30,"Young Adult",K923&lt;50,"Adult",K923&gt;=50,"Senior")</f>
        <v>Adult</v>
      </c>
      <c r="K923" s="4">
        <v>41</v>
      </c>
      <c r="L923" s="4" t="s">
        <v>26</v>
      </c>
      <c r="M923" s="4">
        <v>1</v>
      </c>
      <c r="N923" s="16">
        <v>50</v>
      </c>
      <c r="O923" s="17">
        <f>M923*N923</f>
        <v>50</v>
      </c>
      <c r="P923" s="13">
        <f>$O923*$U$4</f>
        <v>0.75</v>
      </c>
      <c r="Q923" s="13">
        <f>$O923*$U$5</f>
        <v>1</v>
      </c>
      <c r="R923" s="13" cm="1">
        <f t="array" ref="R923">_xlfn.IFS(B923=2023,O923*$U$4,B923=2024,O923*$U$5)</f>
        <v>0.75</v>
      </c>
    </row>
    <row r="924" spans="1:18">
      <c r="A924" s="2">
        <v>923</v>
      </c>
      <c r="B924" s="4">
        <f t="shared" si="71"/>
        <v>2023</v>
      </c>
      <c r="C924" s="4">
        <f t="shared" si="72"/>
        <v>5</v>
      </c>
      <c r="D924" s="4">
        <f t="shared" si="73"/>
        <v>26</v>
      </c>
      <c r="E924" s="4" t="str">
        <f t="shared" si="74"/>
        <v>Friday</v>
      </c>
      <c r="F924" s="4" t="str">
        <f t="shared" si="75"/>
        <v>May</v>
      </c>
      <c r="G924" s="3">
        <v>45072</v>
      </c>
      <c r="H924" s="4" t="s">
        <v>955</v>
      </c>
      <c r="I924" s="4" t="s">
        <v>19</v>
      </c>
      <c r="J924" s="4" t="str" cm="1">
        <f t="array" ref="J924">_xlfn.IFS(K924&lt;30,"Young Adult",K924&lt;50,"Adult",K924&gt;=50,"Senior")</f>
        <v>Adult</v>
      </c>
      <c r="K924" s="4">
        <v>32</v>
      </c>
      <c r="L924" s="4" t="s">
        <v>20</v>
      </c>
      <c r="M924" s="4">
        <v>3</v>
      </c>
      <c r="N924" s="16">
        <v>300</v>
      </c>
      <c r="O924" s="17">
        <f>M924*N924</f>
        <v>900</v>
      </c>
      <c r="P924" s="13">
        <f>$O924*$U$4</f>
        <v>13.5</v>
      </c>
      <c r="Q924" s="13">
        <f>$O924*$U$5</f>
        <v>18</v>
      </c>
      <c r="R924" s="13" cm="1">
        <f t="array" ref="R924">_xlfn.IFS(B924=2023,O924*$U$4,B924=2024,O924*$U$5)</f>
        <v>13.5</v>
      </c>
    </row>
    <row r="925" spans="1:18">
      <c r="A925" s="2">
        <v>924</v>
      </c>
      <c r="B925" s="4">
        <f t="shared" si="71"/>
        <v>2023</v>
      </c>
      <c r="C925" s="4">
        <f t="shared" si="72"/>
        <v>8</v>
      </c>
      <c r="D925" s="4">
        <f t="shared" si="73"/>
        <v>29</v>
      </c>
      <c r="E925" s="4" t="str">
        <f t="shared" si="74"/>
        <v>Tuesday</v>
      </c>
      <c r="F925" s="4" t="str">
        <f t="shared" si="75"/>
        <v>August</v>
      </c>
      <c r="G925" s="3">
        <v>45167</v>
      </c>
      <c r="H925" s="4" t="s">
        <v>956</v>
      </c>
      <c r="I925" s="4" t="s">
        <v>19</v>
      </c>
      <c r="J925" s="4" t="str" cm="1">
        <f t="array" ref="J925">_xlfn.IFS(K925&lt;30,"Young Adult",K925&lt;50,"Adult",K925&gt;=50,"Senior")</f>
        <v>Senior</v>
      </c>
      <c r="K925" s="4">
        <v>55</v>
      </c>
      <c r="L925" s="4" t="s">
        <v>20</v>
      </c>
      <c r="M925" s="4">
        <v>2</v>
      </c>
      <c r="N925" s="16">
        <v>50</v>
      </c>
      <c r="O925" s="17">
        <f>M925*N925</f>
        <v>100</v>
      </c>
      <c r="P925" s="13">
        <f>$O925*$U$4</f>
        <v>1.5</v>
      </c>
      <c r="Q925" s="13">
        <f>$O925*$U$5</f>
        <v>2</v>
      </c>
      <c r="R925" s="13" cm="1">
        <f t="array" ref="R925">_xlfn.IFS(B925=2023,O925*$U$4,B925=2024,O925*$U$5)</f>
        <v>1.5</v>
      </c>
    </row>
    <row r="926" spans="1:18">
      <c r="A926" s="2">
        <v>925</v>
      </c>
      <c r="B926" s="4">
        <f t="shared" si="71"/>
        <v>2023</v>
      </c>
      <c r="C926" s="4">
        <f t="shared" si="72"/>
        <v>9</v>
      </c>
      <c r="D926" s="4">
        <f t="shared" si="73"/>
        <v>3</v>
      </c>
      <c r="E926" s="4" t="str">
        <f t="shared" si="74"/>
        <v>Sunday</v>
      </c>
      <c r="F926" s="4" t="str">
        <f t="shared" si="75"/>
        <v>September</v>
      </c>
      <c r="G926" s="3">
        <v>45172</v>
      </c>
      <c r="H926" s="4" t="s">
        <v>957</v>
      </c>
      <c r="I926" s="4" t="s">
        <v>19</v>
      </c>
      <c r="J926" s="4" t="str" cm="1">
        <f t="array" ref="J926">_xlfn.IFS(K926&lt;30,"Young Adult",K926&lt;50,"Adult",K926&gt;=50,"Senior")</f>
        <v>Young Adult</v>
      </c>
      <c r="K926" s="4">
        <v>25</v>
      </c>
      <c r="L926" s="4" t="s">
        <v>26</v>
      </c>
      <c r="M926" s="4">
        <v>1</v>
      </c>
      <c r="N926" s="16">
        <v>300</v>
      </c>
      <c r="O926" s="17">
        <f>M926*N926</f>
        <v>300</v>
      </c>
      <c r="P926" s="13">
        <f>$O926*$U$4</f>
        <v>4.5</v>
      </c>
      <c r="Q926" s="13">
        <f>$O926*$U$5</f>
        <v>6</v>
      </c>
      <c r="R926" s="13" cm="1">
        <f t="array" ref="R926">_xlfn.IFS(B926=2023,O926*$U$4,B926=2024,O926*$U$5)</f>
        <v>4.5</v>
      </c>
    </row>
    <row r="927" spans="1:18">
      <c r="A927" s="2">
        <v>926</v>
      </c>
      <c r="B927" s="4">
        <f t="shared" si="71"/>
        <v>2023</v>
      </c>
      <c r="C927" s="4">
        <f t="shared" si="72"/>
        <v>8</v>
      </c>
      <c r="D927" s="4">
        <f t="shared" si="73"/>
        <v>14</v>
      </c>
      <c r="E927" s="4" t="str">
        <f t="shared" si="74"/>
        <v>Monday</v>
      </c>
      <c r="F927" s="4" t="str">
        <f t="shared" si="75"/>
        <v>August</v>
      </c>
      <c r="G927" s="3">
        <v>45152</v>
      </c>
      <c r="H927" s="4" t="s">
        <v>958</v>
      </c>
      <c r="I927" s="4" t="s">
        <v>19</v>
      </c>
      <c r="J927" s="4" t="str" cm="1">
        <f t="array" ref="J927">_xlfn.IFS(K927&lt;30,"Young Adult",K927&lt;50,"Adult",K927&gt;=50,"Senior")</f>
        <v>Young Adult</v>
      </c>
      <c r="K927" s="4">
        <v>22</v>
      </c>
      <c r="L927" s="4" t="s">
        <v>26</v>
      </c>
      <c r="M927" s="4">
        <v>1</v>
      </c>
      <c r="N927" s="16">
        <v>30</v>
      </c>
      <c r="O927" s="17">
        <f>M927*N927</f>
        <v>30</v>
      </c>
      <c r="P927" s="13">
        <f>$O927*$U$4</f>
        <v>0.44999999999999996</v>
      </c>
      <c r="Q927" s="13">
        <f>$O927*$U$5</f>
        <v>0.6</v>
      </c>
      <c r="R927" s="13" cm="1">
        <f t="array" ref="R927">_xlfn.IFS(B927=2023,O927*$U$4,B927=2024,O927*$U$5)</f>
        <v>0.44999999999999996</v>
      </c>
    </row>
    <row r="928" spans="1:18">
      <c r="A928" s="2">
        <v>927</v>
      </c>
      <c r="B928" s="4">
        <f t="shared" si="71"/>
        <v>2023</v>
      </c>
      <c r="C928" s="4">
        <f t="shared" si="72"/>
        <v>6</v>
      </c>
      <c r="D928" s="4">
        <f t="shared" si="73"/>
        <v>24</v>
      </c>
      <c r="E928" s="4" t="str">
        <f t="shared" si="74"/>
        <v>Saturday</v>
      </c>
      <c r="F928" s="4" t="str">
        <f t="shared" si="75"/>
        <v>June</v>
      </c>
      <c r="G928" s="3">
        <v>45101</v>
      </c>
      <c r="H928" s="4" t="s">
        <v>959</v>
      </c>
      <c r="I928" s="4" t="s">
        <v>19</v>
      </c>
      <c r="J928" s="4" t="str" cm="1">
        <f t="array" ref="J928">_xlfn.IFS(K928&lt;30,"Young Adult",K928&lt;50,"Adult",K928&gt;=50,"Senior")</f>
        <v>Adult</v>
      </c>
      <c r="K928" s="4">
        <v>43</v>
      </c>
      <c r="L928" s="4" t="s">
        <v>26</v>
      </c>
      <c r="M928" s="4">
        <v>4</v>
      </c>
      <c r="N928" s="16">
        <v>500</v>
      </c>
      <c r="O928" s="17">
        <f>M928*N928</f>
        <v>2000</v>
      </c>
      <c r="P928" s="13">
        <f>$O928*$U$4</f>
        <v>30</v>
      </c>
      <c r="Q928" s="13">
        <f>$O928*$U$5</f>
        <v>40</v>
      </c>
      <c r="R928" s="13" cm="1">
        <f t="array" ref="R928">_xlfn.IFS(B928=2023,O928*$U$4,B928=2024,O928*$U$5)</f>
        <v>30</v>
      </c>
    </row>
    <row r="929" spans="1:18">
      <c r="A929" s="2">
        <v>928</v>
      </c>
      <c r="B929" s="4">
        <f t="shared" si="71"/>
        <v>2023</v>
      </c>
      <c r="C929" s="4">
        <f t="shared" si="72"/>
        <v>4</v>
      </c>
      <c r="D929" s="4">
        <f t="shared" si="73"/>
        <v>5</v>
      </c>
      <c r="E929" s="4" t="str">
        <f t="shared" si="74"/>
        <v>Wednesday</v>
      </c>
      <c r="F929" s="4" t="str">
        <f t="shared" si="75"/>
        <v>April</v>
      </c>
      <c r="G929" s="3">
        <v>45021</v>
      </c>
      <c r="H929" s="4" t="s">
        <v>960</v>
      </c>
      <c r="I929" s="4" t="s">
        <v>22</v>
      </c>
      <c r="J929" s="4" t="str" cm="1">
        <f t="array" ref="J929">_xlfn.IFS(K929&lt;30,"Young Adult",K929&lt;50,"Adult",K929&gt;=50,"Senior")</f>
        <v>Adult</v>
      </c>
      <c r="K929" s="4">
        <v>35</v>
      </c>
      <c r="L929" s="4" t="s">
        <v>23</v>
      </c>
      <c r="M929" s="4">
        <v>4</v>
      </c>
      <c r="N929" s="16">
        <v>300</v>
      </c>
      <c r="O929" s="17">
        <f>M929*N929</f>
        <v>1200</v>
      </c>
      <c r="P929" s="13">
        <f>$O929*$U$4</f>
        <v>18</v>
      </c>
      <c r="Q929" s="13">
        <f>$O929*$U$5</f>
        <v>24</v>
      </c>
      <c r="R929" s="13" cm="1">
        <f t="array" ref="R929">_xlfn.IFS(B929=2023,O929*$U$4,B929=2024,O929*$U$5)</f>
        <v>18</v>
      </c>
    </row>
    <row r="930" spans="1:18">
      <c r="A930" s="2">
        <v>929</v>
      </c>
      <c r="B930" s="4">
        <f t="shared" si="71"/>
        <v>2023</v>
      </c>
      <c r="C930" s="4">
        <f t="shared" si="72"/>
        <v>1</v>
      </c>
      <c r="D930" s="4">
        <f t="shared" si="73"/>
        <v>27</v>
      </c>
      <c r="E930" s="4" t="str">
        <f t="shared" si="74"/>
        <v>Friday</v>
      </c>
      <c r="F930" s="4" t="str">
        <f t="shared" si="75"/>
        <v>January</v>
      </c>
      <c r="G930" s="3">
        <v>44953</v>
      </c>
      <c r="H930" s="4" t="s">
        <v>961</v>
      </c>
      <c r="I930" s="4" t="s">
        <v>22</v>
      </c>
      <c r="J930" s="4" t="str" cm="1">
        <f t="array" ref="J930">_xlfn.IFS(K930&lt;30,"Young Adult",K930&lt;50,"Adult",K930&gt;=50,"Senior")</f>
        <v>Young Adult</v>
      </c>
      <c r="K930" s="4">
        <v>23</v>
      </c>
      <c r="L930" s="4" t="s">
        <v>20</v>
      </c>
      <c r="M930" s="4">
        <v>3</v>
      </c>
      <c r="N930" s="16">
        <v>25</v>
      </c>
      <c r="O930" s="17">
        <f>M930*N930</f>
        <v>75</v>
      </c>
      <c r="P930" s="13">
        <f>$O930*$U$4</f>
        <v>1.125</v>
      </c>
      <c r="Q930" s="13">
        <f>$O930*$U$5</f>
        <v>1.5</v>
      </c>
      <c r="R930" s="13" cm="1">
        <f t="array" ref="R930">_xlfn.IFS(B930=2023,O930*$U$4,B930=2024,O930*$U$5)</f>
        <v>1.125</v>
      </c>
    </row>
    <row r="931" spans="1:18">
      <c r="A931" s="2">
        <v>930</v>
      </c>
      <c r="B931" s="4">
        <f t="shared" si="71"/>
        <v>2023</v>
      </c>
      <c r="C931" s="4">
        <f t="shared" si="72"/>
        <v>5</v>
      </c>
      <c r="D931" s="4">
        <f t="shared" si="73"/>
        <v>10</v>
      </c>
      <c r="E931" s="4" t="str">
        <f t="shared" si="74"/>
        <v>Wednesday</v>
      </c>
      <c r="F931" s="4" t="str">
        <f t="shared" si="75"/>
        <v>May</v>
      </c>
      <c r="G931" s="3">
        <v>45056</v>
      </c>
      <c r="H931" s="4" t="s">
        <v>962</v>
      </c>
      <c r="I931" s="4" t="s">
        <v>19</v>
      </c>
      <c r="J931" s="4" t="str" cm="1">
        <f t="array" ref="J931">_xlfn.IFS(K931&lt;30,"Young Adult",K931&lt;50,"Adult",K931&gt;=50,"Senior")</f>
        <v>Senior</v>
      </c>
      <c r="K931" s="4">
        <v>54</v>
      </c>
      <c r="L931" s="4" t="s">
        <v>23</v>
      </c>
      <c r="M931" s="4">
        <v>4</v>
      </c>
      <c r="N931" s="16">
        <v>50</v>
      </c>
      <c r="O931" s="17">
        <f>M931*N931</f>
        <v>200</v>
      </c>
      <c r="P931" s="13">
        <f>$O931*$U$4</f>
        <v>3</v>
      </c>
      <c r="Q931" s="13">
        <f>$O931*$U$5</f>
        <v>4</v>
      </c>
      <c r="R931" s="13" cm="1">
        <f t="array" ref="R931">_xlfn.IFS(B931=2023,O931*$U$4,B931=2024,O931*$U$5)</f>
        <v>3</v>
      </c>
    </row>
    <row r="932" spans="1:18">
      <c r="A932" s="2">
        <v>931</v>
      </c>
      <c r="B932" s="4">
        <f t="shared" si="71"/>
        <v>2023</v>
      </c>
      <c r="C932" s="4">
        <f t="shared" si="72"/>
        <v>9</v>
      </c>
      <c r="D932" s="4">
        <f t="shared" si="73"/>
        <v>2</v>
      </c>
      <c r="E932" s="4" t="str">
        <f t="shared" si="74"/>
        <v>Saturday</v>
      </c>
      <c r="F932" s="4" t="str">
        <f t="shared" si="75"/>
        <v>September</v>
      </c>
      <c r="G932" s="3">
        <v>45171</v>
      </c>
      <c r="H932" s="4" t="s">
        <v>963</v>
      </c>
      <c r="I932" s="4" t="s">
        <v>19</v>
      </c>
      <c r="J932" s="4" t="str" cm="1">
        <f t="array" ref="J932">_xlfn.IFS(K932&lt;30,"Young Adult",K932&lt;50,"Adult",K932&gt;=50,"Senior")</f>
        <v>Adult</v>
      </c>
      <c r="K932" s="4">
        <v>30</v>
      </c>
      <c r="L932" s="4" t="s">
        <v>20</v>
      </c>
      <c r="M932" s="4">
        <v>4</v>
      </c>
      <c r="N932" s="16">
        <v>30</v>
      </c>
      <c r="O932" s="17">
        <f>M932*N932</f>
        <v>120</v>
      </c>
      <c r="P932" s="13">
        <f>$O932*$U$4</f>
        <v>1.7999999999999998</v>
      </c>
      <c r="Q932" s="13">
        <f>$O932*$U$5</f>
        <v>2.4</v>
      </c>
      <c r="R932" s="13" cm="1">
        <f t="array" ref="R932">_xlfn.IFS(B932=2023,O932*$U$4,B932=2024,O932*$U$5)</f>
        <v>1.7999999999999998</v>
      </c>
    </row>
    <row r="933" spans="1:18">
      <c r="A933" s="2">
        <v>932</v>
      </c>
      <c r="B933" s="4">
        <f t="shared" si="71"/>
        <v>2023</v>
      </c>
      <c r="C933" s="4">
        <f t="shared" si="72"/>
        <v>2</v>
      </c>
      <c r="D933" s="4">
        <f t="shared" si="73"/>
        <v>28</v>
      </c>
      <c r="E933" s="4" t="str">
        <f t="shared" si="74"/>
        <v>Tuesday</v>
      </c>
      <c r="F933" s="4" t="str">
        <f t="shared" si="75"/>
        <v>February</v>
      </c>
      <c r="G933" s="3">
        <v>44985</v>
      </c>
      <c r="H933" s="4" t="s">
        <v>964</v>
      </c>
      <c r="I933" s="4" t="s">
        <v>22</v>
      </c>
      <c r="J933" s="4" t="str" cm="1">
        <f t="array" ref="J933">_xlfn.IFS(K933&lt;30,"Young Adult",K933&lt;50,"Adult",K933&gt;=50,"Senior")</f>
        <v>Adult</v>
      </c>
      <c r="K933" s="4">
        <v>45</v>
      </c>
      <c r="L933" s="4" t="s">
        <v>20</v>
      </c>
      <c r="M933" s="4">
        <v>4</v>
      </c>
      <c r="N933" s="16">
        <v>25</v>
      </c>
      <c r="O933" s="17">
        <f>M933*N933</f>
        <v>100</v>
      </c>
      <c r="P933" s="13">
        <f>$O933*$U$4</f>
        <v>1.5</v>
      </c>
      <c r="Q933" s="13">
        <f>$O933*$U$5</f>
        <v>2</v>
      </c>
      <c r="R933" s="13" cm="1">
        <f t="array" ref="R933">_xlfn.IFS(B933=2023,O933*$U$4,B933=2024,O933*$U$5)</f>
        <v>1.5</v>
      </c>
    </row>
    <row r="934" spans="1:18">
      <c r="A934" s="2">
        <v>933</v>
      </c>
      <c r="B934" s="4">
        <f t="shared" si="71"/>
        <v>2023</v>
      </c>
      <c r="C934" s="4">
        <f t="shared" si="72"/>
        <v>2</v>
      </c>
      <c r="D934" s="4">
        <f t="shared" si="73"/>
        <v>3</v>
      </c>
      <c r="E934" s="4" t="str">
        <f t="shared" si="74"/>
        <v>Friday</v>
      </c>
      <c r="F934" s="4" t="str">
        <f t="shared" si="75"/>
        <v>February</v>
      </c>
      <c r="G934" s="3">
        <v>44960</v>
      </c>
      <c r="H934" s="4" t="s">
        <v>965</v>
      </c>
      <c r="I934" s="4" t="s">
        <v>19</v>
      </c>
      <c r="J934" s="4" t="str" cm="1">
        <f t="array" ref="J934">_xlfn.IFS(K934&lt;30,"Young Adult",K934&lt;50,"Adult",K934&gt;=50,"Senior")</f>
        <v>Young Adult</v>
      </c>
      <c r="K934" s="4">
        <v>22</v>
      </c>
      <c r="L934" s="4" t="s">
        <v>20</v>
      </c>
      <c r="M934" s="4">
        <v>1</v>
      </c>
      <c r="N934" s="16">
        <v>30</v>
      </c>
      <c r="O934" s="17">
        <f>M934*N934</f>
        <v>30</v>
      </c>
      <c r="P934" s="13">
        <f>$O934*$U$4</f>
        <v>0.44999999999999996</v>
      </c>
      <c r="Q934" s="13">
        <f>$O934*$U$5</f>
        <v>0.6</v>
      </c>
      <c r="R934" s="13" cm="1">
        <f t="array" ref="R934">_xlfn.IFS(B934=2023,O934*$U$4,B934=2024,O934*$U$5)</f>
        <v>0.44999999999999996</v>
      </c>
    </row>
    <row r="935" spans="1:18">
      <c r="A935" s="2">
        <v>934</v>
      </c>
      <c r="B935" s="4">
        <f t="shared" si="71"/>
        <v>2023</v>
      </c>
      <c r="C935" s="4">
        <f t="shared" si="72"/>
        <v>7</v>
      </c>
      <c r="D935" s="4">
        <f t="shared" si="73"/>
        <v>25</v>
      </c>
      <c r="E935" s="4" t="str">
        <f t="shared" si="74"/>
        <v>Tuesday</v>
      </c>
      <c r="F935" s="4" t="str">
        <f t="shared" si="75"/>
        <v>July</v>
      </c>
      <c r="G935" s="3">
        <v>45132</v>
      </c>
      <c r="H935" s="4" t="s">
        <v>966</v>
      </c>
      <c r="I935" s="4" t="s">
        <v>19</v>
      </c>
      <c r="J935" s="4" t="str" cm="1">
        <f t="array" ref="J935">_xlfn.IFS(K935&lt;30,"Young Adult",K935&lt;50,"Adult",K935&gt;=50,"Senior")</f>
        <v>Adult</v>
      </c>
      <c r="K935" s="4">
        <v>30</v>
      </c>
      <c r="L935" s="4" t="s">
        <v>20</v>
      </c>
      <c r="M935" s="4">
        <v>1</v>
      </c>
      <c r="N935" s="16">
        <v>500</v>
      </c>
      <c r="O935" s="17">
        <f>M935*N935</f>
        <v>500</v>
      </c>
      <c r="P935" s="13">
        <f>$O935*$U$4</f>
        <v>7.5</v>
      </c>
      <c r="Q935" s="13">
        <f>$O935*$U$5</f>
        <v>10</v>
      </c>
      <c r="R935" s="13" cm="1">
        <f t="array" ref="R935">_xlfn.IFS(B935=2023,O935*$U$4,B935=2024,O935*$U$5)</f>
        <v>7.5</v>
      </c>
    </row>
    <row r="936" spans="1:18">
      <c r="A936" s="2">
        <v>935</v>
      </c>
      <c r="B936" s="4">
        <f t="shared" si="71"/>
        <v>2023</v>
      </c>
      <c r="C936" s="4">
        <f t="shared" si="72"/>
        <v>9</v>
      </c>
      <c r="D936" s="4">
        <f t="shared" si="73"/>
        <v>9</v>
      </c>
      <c r="E936" s="4" t="str">
        <f t="shared" si="74"/>
        <v>Saturday</v>
      </c>
      <c r="F936" s="4" t="str">
        <f t="shared" si="75"/>
        <v>September</v>
      </c>
      <c r="G936" s="3">
        <v>45178</v>
      </c>
      <c r="H936" s="4" t="s">
        <v>967</v>
      </c>
      <c r="I936" s="4" t="s">
        <v>22</v>
      </c>
      <c r="J936" s="4" t="str" cm="1">
        <f t="array" ref="J936">_xlfn.IFS(K936&lt;30,"Young Adult",K936&lt;50,"Adult",K936&gt;=50,"Senior")</f>
        <v>Adult</v>
      </c>
      <c r="K936" s="4">
        <v>34</v>
      </c>
      <c r="L936" s="4" t="s">
        <v>20</v>
      </c>
      <c r="M936" s="4">
        <v>1</v>
      </c>
      <c r="N936" s="16">
        <v>50</v>
      </c>
      <c r="O936" s="17">
        <f>M936*N936</f>
        <v>50</v>
      </c>
      <c r="P936" s="13">
        <f>$O936*$U$4</f>
        <v>0.75</v>
      </c>
      <c r="Q936" s="13">
        <f>$O936*$U$5</f>
        <v>1</v>
      </c>
      <c r="R936" s="13" cm="1">
        <f t="array" ref="R936">_xlfn.IFS(B936=2023,O936*$U$4,B936=2024,O936*$U$5)</f>
        <v>0.75</v>
      </c>
    </row>
    <row r="937" spans="1:18">
      <c r="A937" s="2">
        <v>936</v>
      </c>
      <c r="B937" s="4">
        <f t="shared" si="71"/>
        <v>2023</v>
      </c>
      <c r="C937" s="4">
        <f t="shared" si="72"/>
        <v>2</v>
      </c>
      <c r="D937" s="4">
        <f t="shared" si="73"/>
        <v>7</v>
      </c>
      <c r="E937" s="4" t="str">
        <f t="shared" si="74"/>
        <v>Tuesday</v>
      </c>
      <c r="F937" s="4" t="str">
        <f t="shared" si="75"/>
        <v>February</v>
      </c>
      <c r="G937" s="3">
        <v>44964</v>
      </c>
      <c r="H937" s="4" t="s">
        <v>968</v>
      </c>
      <c r="I937" s="4" t="s">
        <v>19</v>
      </c>
      <c r="J937" s="4" t="str" cm="1">
        <f t="array" ref="J937">_xlfn.IFS(K937&lt;30,"Young Adult",K937&lt;50,"Adult",K937&gt;=50,"Senior")</f>
        <v>Senior</v>
      </c>
      <c r="K937" s="4">
        <v>57</v>
      </c>
      <c r="L937" s="4" t="s">
        <v>20</v>
      </c>
      <c r="M937" s="4">
        <v>4</v>
      </c>
      <c r="N937" s="16">
        <v>50</v>
      </c>
      <c r="O937" s="17">
        <f>M937*N937</f>
        <v>200</v>
      </c>
      <c r="P937" s="13">
        <f>$O937*$U$4</f>
        <v>3</v>
      </c>
      <c r="Q937" s="13">
        <f>$O937*$U$5</f>
        <v>4</v>
      </c>
      <c r="R937" s="13" cm="1">
        <f t="array" ref="R937">_xlfn.IFS(B937=2023,O937*$U$4,B937=2024,O937*$U$5)</f>
        <v>3</v>
      </c>
    </row>
    <row r="938" spans="1:18">
      <c r="A938" s="2">
        <v>937</v>
      </c>
      <c r="B938" s="4">
        <f t="shared" si="71"/>
        <v>2023</v>
      </c>
      <c r="C938" s="4">
        <f t="shared" si="72"/>
        <v>10</v>
      </c>
      <c r="D938" s="4">
        <f t="shared" si="73"/>
        <v>23</v>
      </c>
      <c r="E938" s="4" t="str">
        <f t="shared" si="74"/>
        <v>Monday</v>
      </c>
      <c r="F938" s="4" t="str">
        <f t="shared" si="75"/>
        <v>October</v>
      </c>
      <c r="G938" s="3">
        <v>45222</v>
      </c>
      <c r="H938" s="4" t="s">
        <v>969</v>
      </c>
      <c r="I938" s="4" t="s">
        <v>22</v>
      </c>
      <c r="J938" s="4" t="str" cm="1">
        <f t="array" ref="J938">_xlfn.IFS(K938&lt;30,"Young Adult",K938&lt;50,"Adult",K938&gt;=50,"Senior")</f>
        <v>Senior</v>
      </c>
      <c r="K938" s="4">
        <v>62</v>
      </c>
      <c r="L938" s="4" t="s">
        <v>20</v>
      </c>
      <c r="M938" s="4">
        <v>1</v>
      </c>
      <c r="N938" s="16">
        <v>500</v>
      </c>
      <c r="O938" s="17">
        <f>M938*N938</f>
        <v>500</v>
      </c>
      <c r="P938" s="13">
        <f>$O938*$U$4</f>
        <v>7.5</v>
      </c>
      <c r="Q938" s="13">
        <f>$O938*$U$5</f>
        <v>10</v>
      </c>
      <c r="R938" s="13" cm="1">
        <f t="array" ref="R938">_xlfn.IFS(B938=2023,O938*$U$4,B938=2024,O938*$U$5)</f>
        <v>7.5</v>
      </c>
    </row>
    <row r="939" spans="1:18">
      <c r="A939" s="2">
        <v>938</v>
      </c>
      <c r="B939" s="4">
        <f t="shared" si="71"/>
        <v>2023</v>
      </c>
      <c r="C939" s="4">
        <f t="shared" si="72"/>
        <v>11</v>
      </c>
      <c r="D939" s="4">
        <f t="shared" si="73"/>
        <v>19</v>
      </c>
      <c r="E939" s="4" t="str">
        <f t="shared" si="74"/>
        <v>Sunday</v>
      </c>
      <c r="F939" s="4" t="str">
        <f t="shared" si="75"/>
        <v>November</v>
      </c>
      <c r="G939" s="3">
        <v>45249</v>
      </c>
      <c r="H939" s="4" t="s">
        <v>970</v>
      </c>
      <c r="I939" s="4" t="s">
        <v>19</v>
      </c>
      <c r="J939" s="4" t="str" cm="1">
        <f t="array" ref="J939">_xlfn.IFS(K939&lt;30,"Young Adult",K939&lt;50,"Adult",K939&gt;=50,"Senior")</f>
        <v>Adult</v>
      </c>
      <c r="K939" s="4">
        <v>49</v>
      </c>
      <c r="L939" s="4" t="s">
        <v>23</v>
      </c>
      <c r="M939" s="4">
        <v>4</v>
      </c>
      <c r="N939" s="16">
        <v>50</v>
      </c>
      <c r="O939" s="17">
        <f>M939*N939</f>
        <v>200</v>
      </c>
      <c r="P939" s="13">
        <f>$O939*$U$4</f>
        <v>3</v>
      </c>
      <c r="Q939" s="13">
        <f>$O939*$U$5</f>
        <v>4</v>
      </c>
      <c r="R939" s="13" cm="1">
        <f t="array" ref="R939">_xlfn.IFS(B939=2023,O939*$U$4,B939=2024,O939*$U$5)</f>
        <v>3</v>
      </c>
    </row>
    <row r="940" spans="1:18">
      <c r="A940" s="2">
        <v>939</v>
      </c>
      <c r="B940" s="4">
        <f t="shared" si="71"/>
        <v>2023</v>
      </c>
      <c r="C940" s="4">
        <f t="shared" si="72"/>
        <v>12</v>
      </c>
      <c r="D940" s="4">
        <f t="shared" si="73"/>
        <v>18</v>
      </c>
      <c r="E940" s="4" t="str">
        <f t="shared" si="74"/>
        <v>Monday</v>
      </c>
      <c r="F940" s="4" t="str">
        <f t="shared" si="75"/>
        <v>December</v>
      </c>
      <c r="G940" s="3">
        <v>45278</v>
      </c>
      <c r="H940" s="4" t="s">
        <v>971</v>
      </c>
      <c r="I940" s="4" t="s">
        <v>22</v>
      </c>
      <c r="J940" s="4" t="str" cm="1">
        <f t="array" ref="J940">_xlfn.IFS(K940&lt;30,"Young Adult",K940&lt;50,"Adult",K940&gt;=50,"Senior")</f>
        <v>Adult</v>
      </c>
      <c r="K940" s="4">
        <v>46</v>
      </c>
      <c r="L940" s="4" t="s">
        <v>26</v>
      </c>
      <c r="M940" s="4">
        <v>1</v>
      </c>
      <c r="N940" s="16">
        <v>300</v>
      </c>
      <c r="O940" s="17">
        <f>M940*N940</f>
        <v>300</v>
      </c>
      <c r="P940" s="13">
        <f>$O940*$U$4</f>
        <v>4.5</v>
      </c>
      <c r="Q940" s="13">
        <f>$O940*$U$5</f>
        <v>6</v>
      </c>
      <c r="R940" s="13" cm="1">
        <f t="array" ref="R940">_xlfn.IFS(B940=2023,O940*$U$4,B940=2024,O940*$U$5)</f>
        <v>4.5</v>
      </c>
    </row>
    <row r="941" spans="1:18">
      <c r="A941" s="2">
        <v>940</v>
      </c>
      <c r="B941" s="4">
        <f t="shared" si="71"/>
        <v>2023</v>
      </c>
      <c r="C941" s="4">
        <f t="shared" si="72"/>
        <v>1</v>
      </c>
      <c r="D941" s="4">
        <f t="shared" si="73"/>
        <v>28</v>
      </c>
      <c r="E941" s="4" t="str">
        <f t="shared" si="74"/>
        <v>Saturday</v>
      </c>
      <c r="F941" s="4" t="str">
        <f t="shared" si="75"/>
        <v>January</v>
      </c>
      <c r="G941" s="3">
        <v>44954</v>
      </c>
      <c r="H941" s="4" t="s">
        <v>972</v>
      </c>
      <c r="I941" s="4" t="s">
        <v>22</v>
      </c>
      <c r="J941" s="4" t="str" cm="1">
        <f t="array" ref="J941">_xlfn.IFS(K941&lt;30,"Young Adult",K941&lt;50,"Adult",K941&gt;=50,"Senior")</f>
        <v>Young Adult</v>
      </c>
      <c r="K941" s="4">
        <v>20</v>
      </c>
      <c r="L941" s="4" t="s">
        <v>26</v>
      </c>
      <c r="M941" s="4">
        <v>1</v>
      </c>
      <c r="N941" s="16">
        <v>30</v>
      </c>
      <c r="O941" s="17">
        <f>M941*N941</f>
        <v>30</v>
      </c>
      <c r="P941" s="13">
        <f>$O941*$U$4</f>
        <v>0.44999999999999996</v>
      </c>
      <c r="Q941" s="13">
        <f>$O941*$U$5</f>
        <v>0.6</v>
      </c>
      <c r="R941" s="13" cm="1">
        <f t="array" ref="R941">_xlfn.IFS(B941=2023,O941*$U$4,B941=2024,O941*$U$5)</f>
        <v>0.44999999999999996</v>
      </c>
    </row>
    <row r="942" spans="1:18">
      <c r="A942" s="2">
        <v>941</v>
      </c>
      <c r="B942" s="4">
        <f t="shared" si="71"/>
        <v>2023</v>
      </c>
      <c r="C942" s="4">
        <f t="shared" si="72"/>
        <v>3</v>
      </c>
      <c r="D942" s="4">
        <f t="shared" si="73"/>
        <v>19</v>
      </c>
      <c r="E942" s="4" t="str">
        <f t="shared" si="74"/>
        <v>Sunday</v>
      </c>
      <c r="F942" s="4" t="str">
        <f t="shared" si="75"/>
        <v>March</v>
      </c>
      <c r="G942" s="3">
        <v>45004</v>
      </c>
      <c r="H942" s="4" t="s">
        <v>973</v>
      </c>
      <c r="I942" s="4" t="s">
        <v>22</v>
      </c>
      <c r="J942" s="4" t="str" cm="1">
        <f t="array" ref="J942">_xlfn.IFS(K942&lt;30,"Young Adult",K942&lt;50,"Adult",K942&gt;=50,"Senior")</f>
        <v>Senior</v>
      </c>
      <c r="K942" s="4">
        <v>57</v>
      </c>
      <c r="L942" s="4" t="s">
        <v>23</v>
      </c>
      <c r="M942" s="4">
        <v>2</v>
      </c>
      <c r="N942" s="16">
        <v>25</v>
      </c>
      <c r="O942" s="17">
        <f>M942*N942</f>
        <v>50</v>
      </c>
      <c r="P942" s="13">
        <f>$O942*$U$4</f>
        <v>0.75</v>
      </c>
      <c r="Q942" s="13">
        <f>$O942*$U$5</f>
        <v>1</v>
      </c>
      <c r="R942" s="13" cm="1">
        <f t="array" ref="R942">_xlfn.IFS(B942=2023,O942*$U$4,B942=2024,O942*$U$5)</f>
        <v>0.75</v>
      </c>
    </row>
    <row r="943" spans="1:18">
      <c r="A943" s="2">
        <v>942</v>
      </c>
      <c r="B943" s="4">
        <f t="shared" si="71"/>
        <v>2023</v>
      </c>
      <c r="C943" s="4">
        <f t="shared" si="72"/>
        <v>3</v>
      </c>
      <c r="D943" s="4">
        <f t="shared" si="73"/>
        <v>18</v>
      </c>
      <c r="E943" s="4" t="str">
        <f t="shared" si="74"/>
        <v>Saturday</v>
      </c>
      <c r="F943" s="4" t="str">
        <f t="shared" si="75"/>
        <v>March</v>
      </c>
      <c r="G943" s="3">
        <v>45003</v>
      </c>
      <c r="H943" s="4" t="s">
        <v>974</v>
      </c>
      <c r="I943" s="4" t="s">
        <v>19</v>
      </c>
      <c r="J943" s="4" t="str" cm="1">
        <f t="array" ref="J943">_xlfn.IFS(K943&lt;30,"Young Adult",K943&lt;50,"Adult",K943&gt;=50,"Senior")</f>
        <v>Senior</v>
      </c>
      <c r="K943" s="4">
        <v>51</v>
      </c>
      <c r="L943" s="4" t="s">
        <v>23</v>
      </c>
      <c r="M943" s="4">
        <v>3</v>
      </c>
      <c r="N943" s="16">
        <v>500</v>
      </c>
      <c r="O943" s="17">
        <f>M943*N943</f>
        <v>1500</v>
      </c>
      <c r="P943" s="13">
        <f>$O943*$U$4</f>
        <v>22.5</v>
      </c>
      <c r="Q943" s="13">
        <f>$O943*$U$5</f>
        <v>30</v>
      </c>
      <c r="R943" s="13" cm="1">
        <f t="array" ref="R943">_xlfn.IFS(B943=2023,O943*$U$4,B943=2024,O943*$U$5)</f>
        <v>22.5</v>
      </c>
    </row>
    <row r="944" spans="1:18">
      <c r="A944" s="2">
        <v>943</v>
      </c>
      <c r="B944" s="4">
        <f t="shared" si="71"/>
        <v>2023</v>
      </c>
      <c r="C944" s="4">
        <f t="shared" si="72"/>
        <v>10</v>
      </c>
      <c r="D944" s="4">
        <f t="shared" si="73"/>
        <v>16</v>
      </c>
      <c r="E944" s="4" t="str">
        <f t="shared" si="74"/>
        <v>Monday</v>
      </c>
      <c r="F944" s="4" t="str">
        <f t="shared" si="75"/>
        <v>October</v>
      </c>
      <c r="G944" s="3">
        <v>45215</v>
      </c>
      <c r="H944" s="4" t="s">
        <v>975</v>
      </c>
      <c r="I944" s="4" t="s">
        <v>22</v>
      </c>
      <c r="J944" s="4" t="str" cm="1">
        <f t="array" ref="J944">_xlfn.IFS(K944&lt;30,"Young Adult",K944&lt;50,"Adult",K944&gt;=50,"Senior")</f>
        <v>Senior</v>
      </c>
      <c r="K944" s="4">
        <v>57</v>
      </c>
      <c r="L944" s="4" t="s">
        <v>23</v>
      </c>
      <c r="M944" s="4">
        <v>4</v>
      </c>
      <c r="N944" s="16">
        <v>300</v>
      </c>
      <c r="O944" s="17">
        <f>M944*N944</f>
        <v>1200</v>
      </c>
      <c r="P944" s="13">
        <f>$O944*$U$4</f>
        <v>18</v>
      </c>
      <c r="Q944" s="13">
        <f>$O944*$U$5</f>
        <v>24</v>
      </c>
      <c r="R944" s="13" cm="1">
        <f t="array" ref="R944">_xlfn.IFS(B944=2023,O944*$U$4,B944=2024,O944*$U$5)</f>
        <v>18</v>
      </c>
    </row>
    <row r="945" spans="1:18">
      <c r="A945" s="2">
        <v>944</v>
      </c>
      <c r="B945" s="4">
        <f t="shared" si="71"/>
        <v>2023</v>
      </c>
      <c r="C945" s="4">
        <f t="shared" si="72"/>
        <v>6</v>
      </c>
      <c r="D945" s="4">
        <f t="shared" si="73"/>
        <v>5</v>
      </c>
      <c r="E945" s="4" t="str">
        <f t="shared" si="74"/>
        <v>Monday</v>
      </c>
      <c r="F945" s="4" t="str">
        <f t="shared" si="75"/>
        <v>June</v>
      </c>
      <c r="G945" s="3">
        <v>45082</v>
      </c>
      <c r="H945" s="4" t="s">
        <v>976</v>
      </c>
      <c r="I945" s="4" t="s">
        <v>19</v>
      </c>
      <c r="J945" s="4" t="str" cm="1">
        <f t="array" ref="J945">_xlfn.IFS(K945&lt;30,"Young Adult",K945&lt;50,"Adult",K945&gt;=50,"Senior")</f>
        <v>Adult</v>
      </c>
      <c r="K945" s="4">
        <v>44</v>
      </c>
      <c r="L945" s="4" t="s">
        <v>23</v>
      </c>
      <c r="M945" s="4">
        <v>2</v>
      </c>
      <c r="N945" s="16">
        <v>25</v>
      </c>
      <c r="O945" s="17">
        <f>M945*N945</f>
        <v>50</v>
      </c>
      <c r="P945" s="13">
        <f>$O945*$U$4</f>
        <v>0.75</v>
      </c>
      <c r="Q945" s="13">
        <f>$O945*$U$5</f>
        <v>1</v>
      </c>
      <c r="R945" s="13" cm="1">
        <f t="array" ref="R945">_xlfn.IFS(B945=2023,O945*$U$4,B945=2024,O945*$U$5)</f>
        <v>0.75</v>
      </c>
    </row>
    <row r="946" spans="1:18">
      <c r="A946" s="2">
        <v>945</v>
      </c>
      <c r="B946" s="4">
        <f t="shared" si="71"/>
        <v>2023</v>
      </c>
      <c r="C946" s="4">
        <f t="shared" si="72"/>
        <v>2</v>
      </c>
      <c r="D946" s="4">
        <f t="shared" si="73"/>
        <v>13</v>
      </c>
      <c r="E946" s="4" t="str">
        <f t="shared" si="74"/>
        <v>Monday</v>
      </c>
      <c r="F946" s="4" t="str">
        <f t="shared" si="75"/>
        <v>February</v>
      </c>
      <c r="G946" s="3">
        <v>44970</v>
      </c>
      <c r="H946" s="4" t="s">
        <v>977</v>
      </c>
      <c r="I946" s="4" t="s">
        <v>19</v>
      </c>
      <c r="J946" s="4" t="str" cm="1">
        <f t="array" ref="J946">_xlfn.IFS(K946&lt;30,"Young Adult",K946&lt;50,"Adult",K946&gt;=50,"Senior")</f>
        <v>Adult</v>
      </c>
      <c r="K946" s="4">
        <v>30</v>
      </c>
      <c r="L946" s="4" t="s">
        <v>20</v>
      </c>
      <c r="M946" s="4">
        <v>1</v>
      </c>
      <c r="N946" s="16">
        <v>25</v>
      </c>
      <c r="O946" s="17">
        <f>M946*N946</f>
        <v>25</v>
      </c>
      <c r="P946" s="13">
        <f>$O946*$U$4</f>
        <v>0.375</v>
      </c>
      <c r="Q946" s="13">
        <f>$O946*$U$5</f>
        <v>0.5</v>
      </c>
      <c r="R946" s="13" cm="1">
        <f t="array" ref="R946">_xlfn.IFS(B946=2023,O946*$U$4,B946=2024,O946*$U$5)</f>
        <v>0.375</v>
      </c>
    </row>
    <row r="947" spans="1:18">
      <c r="A947" s="2">
        <v>946</v>
      </c>
      <c r="B947" s="4">
        <f t="shared" si="71"/>
        <v>2023</v>
      </c>
      <c r="C947" s="4">
        <f t="shared" si="72"/>
        <v>5</v>
      </c>
      <c r="D947" s="4">
        <f t="shared" si="73"/>
        <v>8</v>
      </c>
      <c r="E947" s="4" t="str">
        <f t="shared" si="74"/>
        <v>Monday</v>
      </c>
      <c r="F947" s="4" t="str">
        <f t="shared" si="75"/>
        <v>May</v>
      </c>
      <c r="G947" s="3">
        <v>45054</v>
      </c>
      <c r="H947" s="4" t="s">
        <v>978</v>
      </c>
      <c r="I947" s="4" t="s">
        <v>19</v>
      </c>
      <c r="J947" s="4" t="str" cm="1">
        <f t="array" ref="J947">_xlfn.IFS(K947&lt;30,"Young Adult",K947&lt;50,"Adult",K947&gt;=50,"Senior")</f>
        <v>Senior</v>
      </c>
      <c r="K947" s="4">
        <v>62</v>
      </c>
      <c r="L947" s="4" t="s">
        <v>26</v>
      </c>
      <c r="M947" s="4">
        <v>4</v>
      </c>
      <c r="N947" s="16">
        <v>500</v>
      </c>
      <c r="O947" s="17">
        <f>M947*N947</f>
        <v>2000</v>
      </c>
      <c r="P947" s="13">
        <f>$O947*$U$4</f>
        <v>30</v>
      </c>
      <c r="Q947" s="13">
        <f>$O947*$U$5</f>
        <v>40</v>
      </c>
      <c r="R947" s="13" cm="1">
        <f t="array" ref="R947">_xlfn.IFS(B947=2023,O947*$U$4,B947=2024,O947*$U$5)</f>
        <v>30</v>
      </c>
    </row>
    <row r="948" spans="1:18">
      <c r="A948" s="2">
        <v>947</v>
      </c>
      <c r="B948" s="4">
        <f t="shared" si="71"/>
        <v>2023</v>
      </c>
      <c r="C948" s="4">
        <f t="shared" si="72"/>
        <v>3</v>
      </c>
      <c r="D948" s="4">
        <f t="shared" si="73"/>
        <v>2</v>
      </c>
      <c r="E948" s="4" t="str">
        <f t="shared" si="74"/>
        <v>Thursday</v>
      </c>
      <c r="F948" s="4" t="str">
        <f t="shared" si="75"/>
        <v>March</v>
      </c>
      <c r="G948" s="3">
        <v>44987</v>
      </c>
      <c r="H948" s="4" t="s">
        <v>979</v>
      </c>
      <c r="I948" s="4" t="s">
        <v>19</v>
      </c>
      <c r="J948" s="4" t="str" cm="1">
        <f t="array" ref="J948">_xlfn.IFS(K948&lt;30,"Young Adult",K948&lt;50,"Adult",K948&gt;=50,"Senior")</f>
        <v>Senior</v>
      </c>
      <c r="K948" s="4">
        <v>50</v>
      </c>
      <c r="L948" s="4" t="s">
        <v>20</v>
      </c>
      <c r="M948" s="4">
        <v>1</v>
      </c>
      <c r="N948" s="16">
        <v>300</v>
      </c>
      <c r="O948" s="17">
        <f>M948*N948</f>
        <v>300</v>
      </c>
      <c r="P948" s="13">
        <f>$O948*$U$4</f>
        <v>4.5</v>
      </c>
      <c r="Q948" s="13">
        <f>$O948*$U$5</f>
        <v>6</v>
      </c>
      <c r="R948" s="13" cm="1">
        <f t="array" ref="R948">_xlfn.IFS(B948=2023,O948*$U$4,B948=2024,O948*$U$5)</f>
        <v>4.5</v>
      </c>
    </row>
    <row r="949" spans="1:18">
      <c r="A949" s="2">
        <v>948</v>
      </c>
      <c r="B949" s="4">
        <f t="shared" si="71"/>
        <v>2023</v>
      </c>
      <c r="C949" s="4">
        <f t="shared" si="72"/>
        <v>10</v>
      </c>
      <c r="D949" s="4">
        <f t="shared" si="73"/>
        <v>13</v>
      </c>
      <c r="E949" s="4" t="str">
        <f t="shared" si="74"/>
        <v>Friday</v>
      </c>
      <c r="F949" s="4" t="str">
        <f t="shared" si="75"/>
        <v>October</v>
      </c>
      <c r="G949" s="3">
        <v>45212</v>
      </c>
      <c r="H949" s="4" t="s">
        <v>980</v>
      </c>
      <c r="I949" s="4" t="s">
        <v>22</v>
      </c>
      <c r="J949" s="4" t="str" cm="1">
        <f t="array" ref="J949">_xlfn.IFS(K949&lt;30,"Young Adult",K949&lt;50,"Adult",K949&gt;=50,"Senior")</f>
        <v>Young Adult</v>
      </c>
      <c r="K949" s="4">
        <v>23</v>
      </c>
      <c r="L949" s="4" t="s">
        <v>26</v>
      </c>
      <c r="M949" s="4">
        <v>3</v>
      </c>
      <c r="N949" s="16">
        <v>25</v>
      </c>
      <c r="O949" s="17">
        <f>M949*N949</f>
        <v>75</v>
      </c>
      <c r="P949" s="13">
        <f>$O949*$U$4</f>
        <v>1.125</v>
      </c>
      <c r="Q949" s="13">
        <f>$O949*$U$5</f>
        <v>1.5</v>
      </c>
      <c r="R949" s="13" cm="1">
        <f t="array" ref="R949">_xlfn.IFS(B949=2023,O949*$U$4,B949=2024,O949*$U$5)</f>
        <v>1.125</v>
      </c>
    </row>
    <row r="950" spans="1:18">
      <c r="A950" s="2">
        <v>949</v>
      </c>
      <c r="B950" s="4">
        <f t="shared" si="71"/>
        <v>2023</v>
      </c>
      <c r="C950" s="4">
        <f t="shared" si="72"/>
        <v>8</v>
      </c>
      <c r="D950" s="4">
        <f t="shared" si="73"/>
        <v>2</v>
      </c>
      <c r="E950" s="4" t="str">
        <f t="shared" si="74"/>
        <v>Wednesday</v>
      </c>
      <c r="F950" s="4" t="str">
        <f t="shared" si="75"/>
        <v>August</v>
      </c>
      <c r="G950" s="3">
        <v>45140</v>
      </c>
      <c r="H950" s="4" t="s">
        <v>981</v>
      </c>
      <c r="I950" s="4" t="s">
        <v>22</v>
      </c>
      <c r="J950" s="4" t="str" cm="1">
        <f t="array" ref="J950">_xlfn.IFS(K950&lt;30,"Young Adult",K950&lt;50,"Adult",K950&gt;=50,"Senior")</f>
        <v>Adult</v>
      </c>
      <c r="K950" s="4">
        <v>41</v>
      </c>
      <c r="L950" s="4" t="s">
        <v>26</v>
      </c>
      <c r="M950" s="4">
        <v>2</v>
      </c>
      <c r="N950" s="16">
        <v>25</v>
      </c>
      <c r="O950" s="17">
        <f>M950*N950</f>
        <v>50</v>
      </c>
      <c r="P950" s="13">
        <f>$O950*$U$4</f>
        <v>0.75</v>
      </c>
      <c r="Q950" s="13">
        <f>$O950*$U$5</f>
        <v>1</v>
      </c>
      <c r="R950" s="13" cm="1">
        <f t="array" ref="R950">_xlfn.IFS(B950=2023,O950*$U$4,B950=2024,O950*$U$5)</f>
        <v>0.75</v>
      </c>
    </row>
    <row r="951" spans="1:18">
      <c r="A951" s="2">
        <v>950</v>
      </c>
      <c r="B951" s="4">
        <f t="shared" si="71"/>
        <v>2023</v>
      </c>
      <c r="C951" s="4">
        <f t="shared" si="72"/>
        <v>11</v>
      </c>
      <c r="D951" s="4">
        <f t="shared" si="73"/>
        <v>7</v>
      </c>
      <c r="E951" s="4" t="str">
        <f t="shared" si="74"/>
        <v>Tuesday</v>
      </c>
      <c r="F951" s="4" t="str">
        <f t="shared" si="75"/>
        <v>November</v>
      </c>
      <c r="G951" s="3">
        <v>45237</v>
      </c>
      <c r="H951" s="4" t="s">
        <v>982</v>
      </c>
      <c r="I951" s="4" t="s">
        <v>19</v>
      </c>
      <c r="J951" s="4" t="str" cm="1">
        <f t="array" ref="J951">_xlfn.IFS(K951&lt;30,"Young Adult",K951&lt;50,"Adult",K951&gt;=50,"Senior")</f>
        <v>Adult</v>
      </c>
      <c r="K951" s="4">
        <v>36</v>
      </c>
      <c r="L951" s="4" t="s">
        <v>23</v>
      </c>
      <c r="M951" s="4">
        <v>3</v>
      </c>
      <c r="N951" s="16">
        <v>300</v>
      </c>
      <c r="O951" s="17">
        <f>M951*N951</f>
        <v>900</v>
      </c>
      <c r="P951" s="13">
        <f>$O951*$U$4</f>
        <v>13.5</v>
      </c>
      <c r="Q951" s="13">
        <f>$O951*$U$5</f>
        <v>18</v>
      </c>
      <c r="R951" s="13" cm="1">
        <f t="array" ref="R951">_xlfn.IFS(B951=2023,O951*$U$4,B951=2024,O951*$U$5)</f>
        <v>13.5</v>
      </c>
    </row>
    <row r="952" spans="1:18">
      <c r="A952" s="2">
        <v>951</v>
      </c>
      <c r="B952" s="4">
        <f t="shared" si="71"/>
        <v>2023</v>
      </c>
      <c r="C952" s="4">
        <f t="shared" si="72"/>
        <v>11</v>
      </c>
      <c r="D952" s="4">
        <f t="shared" si="73"/>
        <v>2</v>
      </c>
      <c r="E952" s="4" t="str">
        <f t="shared" si="74"/>
        <v>Thursday</v>
      </c>
      <c r="F952" s="4" t="str">
        <f t="shared" si="75"/>
        <v>November</v>
      </c>
      <c r="G952" s="3">
        <v>45232</v>
      </c>
      <c r="H952" s="4" t="s">
        <v>983</v>
      </c>
      <c r="I952" s="4" t="s">
        <v>19</v>
      </c>
      <c r="J952" s="4" t="str" cm="1">
        <f t="array" ref="J952">_xlfn.IFS(K952&lt;30,"Young Adult",K952&lt;50,"Adult",K952&gt;=50,"Senior")</f>
        <v>Adult</v>
      </c>
      <c r="K952" s="4">
        <v>33</v>
      </c>
      <c r="L952" s="4" t="s">
        <v>20</v>
      </c>
      <c r="M952" s="4">
        <v>2</v>
      </c>
      <c r="N952" s="16">
        <v>50</v>
      </c>
      <c r="O952" s="17">
        <f>M952*N952</f>
        <v>100</v>
      </c>
      <c r="P952" s="13">
        <f>$O952*$U$4</f>
        <v>1.5</v>
      </c>
      <c r="Q952" s="13">
        <f>$O952*$U$5</f>
        <v>2</v>
      </c>
      <c r="R952" s="13" cm="1">
        <f t="array" ref="R952">_xlfn.IFS(B952=2023,O952*$U$4,B952=2024,O952*$U$5)</f>
        <v>1.5</v>
      </c>
    </row>
    <row r="953" spans="1:18">
      <c r="A953" s="2">
        <v>952</v>
      </c>
      <c r="B953" s="4">
        <f t="shared" si="71"/>
        <v>2023</v>
      </c>
      <c r="C953" s="4">
        <f t="shared" si="72"/>
        <v>11</v>
      </c>
      <c r="D953" s="4">
        <f t="shared" si="73"/>
        <v>13</v>
      </c>
      <c r="E953" s="4" t="str">
        <f t="shared" si="74"/>
        <v>Monday</v>
      </c>
      <c r="F953" s="4" t="str">
        <f t="shared" si="75"/>
        <v>November</v>
      </c>
      <c r="G953" s="3">
        <v>45243</v>
      </c>
      <c r="H953" s="4" t="s">
        <v>984</v>
      </c>
      <c r="I953" s="4" t="s">
        <v>22</v>
      </c>
      <c r="J953" s="4" t="str" cm="1">
        <f t="array" ref="J953">_xlfn.IFS(K953&lt;30,"Young Adult",K953&lt;50,"Adult",K953&gt;=50,"Senior")</f>
        <v>Senior</v>
      </c>
      <c r="K953" s="4">
        <v>57</v>
      </c>
      <c r="L953" s="4" t="s">
        <v>23</v>
      </c>
      <c r="M953" s="4">
        <v>1</v>
      </c>
      <c r="N953" s="16">
        <v>25</v>
      </c>
      <c r="O953" s="17">
        <f>M953*N953</f>
        <v>25</v>
      </c>
      <c r="P953" s="13">
        <f>$O953*$U$4</f>
        <v>0.375</v>
      </c>
      <c r="Q953" s="13">
        <f>$O953*$U$5</f>
        <v>0.5</v>
      </c>
      <c r="R953" s="13" cm="1">
        <f t="array" ref="R953">_xlfn.IFS(B953=2023,O953*$U$4,B953=2024,O953*$U$5)</f>
        <v>0.375</v>
      </c>
    </row>
    <row r="954" spans="1:18">
      <c r="A954" s="2">
        <v>953</v>
      </c>
      <c r="B954" s="4">
        <f t="shared" si="71"/>
        <v>2023</v>
      </c>
      <c r="C954" s="4">
        <f t="shared" si="72"/>
        <v>4</v>
      </c>
      <c r="D954" s="4">
        <f t="shared" si="73"/>
        <v>26</v>
      </c>
      <c r="E954" s="4" t="str">
        <f t="shared" si="74"/>
        <v>Wednesday</v>
      </c>
      <c r="F954" s="4" t="str">
        <f t="shared" si="75"/>
        <v>April</v>
      </c>
      <c r="G954" s="3">
        <v>45042</v>
      </c>
      <c r="H954" s="4" t="s">
        <v>985</v>
      </c>
      <c r="I954" s="4" t="s">
        <v>19</v>
      </c>
      <c r="J954" s="4" t="str" cm="1">
        <f t="array" ref="J954">_xlfn.IFS(K954&lt;30,"Young Adult",K954&lt;50,"Adult",K954&gt;=50,"Senior")</f>
        <v>Adult</v>
      </c>
      <c r="K954" s="4">
        <v>45</v>
      </c>
      <c r="L954" s="4" t="s">
        <v>20</v>
      </c>
      <c r="M954" s="4">
        <v>3</v>
      </c>
      <c r="N954" s="16">
        <v>30</v>
      </c>
      <c r="O954" s="17">
        <f>M954*N954</f>
        <v>90</v>
      </c>
      <c r="P954" s="13">
        <f>$O954*$U$4</f>
        <v>1.3499999999999999</v>
      </c>
      <c r="Q954" s="13">
        <f>$O954*$U$5</f>
        <v>1.8</v>
      </c>
      <c r="R954" s="13" cm="1">
        <f t="array" ref="R954">_xlfn.IFS(B954=2023,O954*$U$4,B954=2024,O954*$U$5)</f>
        <v>1.3499999999999999</v>
      </c>
    </row>
    <row r="955" spans="1:18">
      <c r="A955" s="2">
        <v>954</v>
      </c>
      <c r="B955" s="4">
        <f t="shared" si="71"/>
        <v>2023</v>
      </c>
      <c r="C955" s="4">
        <f t="shared" si="72"/>
        <v>9</v>
      </c>
      <c r="D955" s="4">
        <f t="shared" si="73"/>
        <v>25</v>
      </c>
      <c r="E955" s="4" t="str">
        <f t="shared" si="74"/>
        <v>Monday</v>
      </c>
      <c r="F955" s="4" t="str">
        <f t="shared" si="75"/>
        <v>September</v>
      </c>
      <c r="G955" s="3">
        <v>45194</v>
      </c>
      <c r="H955" s="4" t="s">
        <v>986</v>
      </c>
      <c r="I955" s="4" t="s">
        <v>22</v>
      </c>
      <c r="J955" s="4" t="str" cm="1">
        <f t="array" ref="J955">_xlfn.IFS(K955&lt;30,"Young Adult",K955&lt;50,"Adult",K955&gt;=50,"Senior")</f>
        <v>Senior</v>
      </c>
      <c r="K955" s="4">
        <v>50</v>
      </c>
      <c r="L955" s="4" t="s">
        <v>26</v>
      </c>
      <c r="M955" s="4">
        <v>3</v>
      </c>
      <c r="N955" s="16">
        <v>300</v>
      </c>
      <c r="O955" s="17">
        <f>M955*N955</f>
        <v>900</v>
      </c>
      <c r="P955" s="13">
        <f>$O955*$U$4</f>
        <v>13.5</v>
      </c>
      <c r="Q955" s="13">
        <f>$O955*$U$5</f>
        <v>18</v>
      </c>
      <c r="R955" s="13" cm="1">
        <f t="array" ref="R955">_xlfn.IFS(B955=2023,O955*$U$4,B955=2024,O955*$U$5)</f>
        <v>13.5</v>
      </c>
    </row>
    <row r="956" spans="1:18">
      <c r="A956" s="2">
        <v>955</v>
      </c>
      <c r="B956" s="4">
        <f t="shared" si="71"/>
        <v>2023</v>
      </c>
      <c r="C956" s="4">
        <f t="shared" si="72"/>
        <v>7</v>
      </c>
      <c r="D956" s="4">
        <f t="shared" si="73"/>
        <v>14</v>
      </c>
      <c r="E956" s="4" t="str">
        <f t="shared" si="74"/>
        <v>Friday</v>
      </c>
      <c r="F956" s="4" t="str">
        <f t="shared" si="75"/>
        <v>July</v>
      </c>
      <c r="G956" s="3">
        <v>45121</v>
      </c>
      <c r="H956" s="4" t="s">
        <v>987</v>
      </c>
      <c r="I956" s="4" t="s">
        <v>19</v>
      </c>
      <c r="J956" s="4" t="str" cm="1">
        <f t="array" ref="J956">_xlfn.IFS(K956&lt;30,"Young Adult",K956&lt;50,"Adult",K956&gt;=50,"Senior")</f>
        <v>Senior</v>
      </c>
      <c r="K956" s="4">
        <v>58</v>
      </c>
      <c r="L956" s="4" t="s">
        <v>23</v>
      </c>
      <c r="M956" s="4">
        <v>1</v>
      </c>
      <c r="N956" s="16">
        <v>25</v>
      </c>
      <c r="O956" s="17">
        <f>M956*N956</f>
        <v>25</v>
      </c>
      <c r="P956" s="13">
        <f>$O956*$U$4</f>
        <v>0.375</v>
      </c>
      <c r="Q956" s="13">
        <f>$O956*$U$5</f>
        <v>0.5</v>
      </c>
      <c r="R956" s="13" cm="1">
        <f t="array" ref="R956">_xlfn.IFS(B956=2023,O956*$U$4,B956=2024,O956*$U$5)</f>
        <v>0.375</v>
      </c>
    </row>
    <row r="957" spans="1:18">
      <c r="A957" s="2">
        <v>956</v>
      </c>
      <c r="B957" s="4">
        <f t="shared" si="71"/>
        <v>2023</v>
      </c>
      <c r="C957" s="4">
        <f t="shared" si="72"/>
        <v>8</v>
      </c>
      <c r="D957" s="4">
        <f t="shared" si="73"/>
        <v>19</v>
      </c>
      <c r="E957" s="4" t="str">
        <f t="shared" si="74"/>
        <v>Saturday</v>
      </c>
      <c r="F957" s="4" t="str">
        <f t="shared" si="75"/>
        <v>August</v>
      </c>
      <c r="G957" s="3">
        <v>45157</v>
      </c>
      <c r="H957" s="4" t="s">
        <v>988</v>
      </c>
      <c r="I957" s="4" t="s">
        <v>19</v>
      </c>
      <c r="J957" s="4" t="str" cm="1">
        <f t="array" ref="J957">_xlfn.IFS(K957&lt;30,"Young Adult",K957&lt;50,"Adult",K957&gt;=50,"Senior")</f>
        <v>Adult</v>
      </c>
      <c r="K957" s="4">
        <v>30</v>
      </c>
      <c r="L957" s="4" t="s">
        <v>23</v>
      </c>
      <c r="M957" s="4">
        <v>3</v>
      </c>
      <c r="N957" s="16">
        <v>500</v>
      </c>
      <c r="O957" s="17">
        <f>M957*N957</f>
        <v>1500</v>
      </c>
      <c r="P957" s="13">
        <f>$O957*$U$4</f>
        <v>22.5</v>
      </c>
      <c r="Q957" s="13">
        <f>$O957*$U$5</f>
        <v>30</v>
      </c>
      <c r="R957" s="13" cm="1">
        <f t="array" ref="R957">_xlfn.IFS(B957=2023,O957*$U$4,B957=2024,O957*$U$5)</f>
        <v>22.5</v>
      </c>
    </row>
    <row r="958" spans="1:18">
      <c r="A958" s="2">
        <v>957</v>
      </c>
      <c r="B958" s="4">
        <f t="shared" si="71"/>
        <v>2023</v>
      </c>
      <c r="C958" s="4">
        <f t="shared" si="72"/>
        <v>8</v>
      </c>
      <c r="D958" s="4">
        <f t="shared" si="73"/>
        <v>15</v>
      </c>
      <c r="E958" s="4" t="str">
        <f t="shared" si="74"/>
        <v>Tuesday</v>
      </c>
      <c r="F958" s="4" t="str">
        <f t="shared" si="75"/>
        <v>August</v>
      </c>
      <c r="G958" s="3">
        <v>45153</v>
      </c>
      <c r="H958" s="4" t="s">
        <v>989</v>
      </c>
      <c r="I958" s="4" t="s">
        <v>22</v>
      </c>
      <c r="J958" s="4" t="str" cm="1">
        <f t="array" ref="J958">_xlfn.IFS(K958&lt;30,"Young Adult",K958&lt;50,"Adult",K958&gt;=50,"Senior")</f>
        <v>Senior</v>
      </c>
      <c r="K958" s="4">
        <v>60</v>
      </c>
      <c r="L958" s="4" t="s">
        <v>26</v>
      </c>
      <c r="M958" s="4">
        <v>4</v>
      </c>
      <c r="N958" s="16">
        <v>30</v>
      </c>
      <c r="O958" s="17">
        <f>M958*N958</f>
        <v>120</v>
      </c>
      <c r="P958" s="13">
        <f>$O958*$U$4</f>
        <v>1.7999999999999998</v>
      </c>
      <c r="Q958" s="13">
        <f>$O958*$U$5</f>
        <v>2.4</v>
      </c>
      <c r="R958" s="13" cm="1">
        <f t="array" ref="R958">_xlfn.IFS(B958=2023,O958*$U$4,B958=2024,O958*$U$5)</f>
        <v>1.7999999999999998</v>
      </c>
    </row>
    <row r="959" spans="1:18">
      <c r="A959" s="2">
        <v>958</v>
      </c>
      <c r="B959" s="4">
        <f t="shared" si="71"/>
        <v>2023</v>
      </c>
      <c r="C959" s="4">
        <f t="shared" si="72"/>
        <v>6</v>
      </c>
      <c r="D959" s="4">
        <f t="shared" si="73"/>
        <v>2</v>
      </c>
      <c r="E959" s="4" t="str">
        <f t="shared" si="74"/>
        <v>Friday</v>
      </c>
      <c r="F959" s="4" t="str">
        <f t="shared" si="75"/>
        <v>June</v>
      </c>
      <c r="G959" s="3">
        <v>45079</v>
      </c>
      <c r="H959" s="4" t="s">
        <v>990</v>
      </c>
      <c r="I959" s="4" t="s">
        <v>19</v>
      </c>
      <c r="J959" s="4" t="str" cm="1">
        <f t="array" ref="J959">_xlfn.IFS(K959&lt;30,"Young Adult",K959&lt;50,"Adult",K959&gt;=50,"Senior")</f>
        <v>Senior</v>
      </c>
      <c r="K959" s="4">
        <v>62</v>
      </c>
      <c r="L959" s="4" t="s">
        <v>26</v>
      </c>
      <c r="M959" s="4">
        <v>2</v>
      </c>
      <c r="N959" s="16">
        <v>25</v>
      </c>
      <c r="O959" s="17">
        <f>M959*N959</f>
        <v>50</v>
      </c>
      <c r="P959" s="13">
        <f>$O959*$U$4</f>
        <v>0.75</v>
      </c>
      <c r="Q959" s="13">
        <f>$O959*$U$5</f>
        <v>1</v>
      </c>
      <c r="R959" s="13" cm="1">
        <f t="array" ref="R959">_xlfn.IFS(B959=2023,O959*$U$4,B959=2024,O959*$U$5)</f>
        <v>0.75</v>
      </c>
    </row>
    <row r="960" spans="1:18">
      <c r="A960" s="2">
        <v>959</v>
      </c>
      <c r="B960" s="4">
        <f t="shared" si="71"/>
        <v>2023</v>
      </c>
      <c r="C960" s="4">
        <f t="shared" si="72"/>
        <v>10</v>
      </c>
      <c r="D960" s="4">
        <f t="shared" si="73"/>
        <v>29</v>
      </c>
      <c r="E960" s="4" t="str">
        <f t="shared" si="74"/>
        <v>Sunday</v>
      </c>
      <c r="F960" s="4" t="str">
        <f t="shared" si="75"/>
        <v>October</v>
      </c>
      <c r="G960" s="3">
        <v>45228</v>
      </c>
      <c r="H960" s="4" t="s">
        <v>991</v>
      </c>
      <c r="I960" s="4" t="s">
        <v>22</v>
      </c>
      <c r="J960" s="4" t="str" cm="1">
        <f t="array" ref="J960">_xlfn.IFS(K960&lt;30,"Young Adult",K960&lt;50,"Adult",K960&gt;=50,"Senior")</f>
        <v>Adult</v>
      </c>
      <c r="K960" s="4">
        <v>42</v>
      </c>
      <c r="L960" s="4" t="s">
        <v>26</v>
      </c>
      <c r="M960" s="4">
        <v>2</v>
      </c>
      <c r="N960" s="16">
        <v>30</v>
      </c>
      <c r="O960" s="17">
        <f>M960*N960</f>
        <v>60</v>
      </c>
      <c r="P960" s="13">
        <f>$O960*$U$4</f>
        <v>0.89999999999999991</v>
      </c>
      <c r="Q960" s="13">
        <f>$O960*$U$5</f>
        <v>1.2</v>
      </c>
      <c r="R960" s="13" cm="1">
        <f t="array" ref="R960">_xlfn.IFS(B960=2023,O960*$U$4,B960=2024,O960*$U$5)</f>
        <v>0.89999999999999991</v>
      </c>
    </row>
    <row r="961" spans="1:18">
      <c r="A961" s="2">
        <v>960</v>
      </c>
      <c r="B961" s="4">
        <f t="shared" si="71"/>
        <v>2023</v>
      </c>
      <c r="C961" s="4">
        <f t="shared" si="72"/>
        <v>8</v>
      </c>
      <c r="D961" s="4">
        <f t="shared" si="73"/>
        <v>8</v>
      </c>
      <c r="E961" s="4" t="str">
        <f t="shared" si="74"/>
        <v>Tuesday</v>
      </c>
      <c r="F961" s="4" t="str">
        <f t="shared" si="75"/>
        <v>August</v>
      </c>
      <c r="G961" s="3">
        <v>45146</v>
      </c>
      <c r="H961" s="4" t="s">
        <v>992</v>
      </c>
      <c r="I961" s="4" t="s">
        <v>19</v>
      </c>
      <c r="J961" s="4" t="str" cm="1">
        <f t="array" ref="J961">_xlfn.IFS(K961&lt;30,"Young Adult",K961&lt;50,"Adult",K961&gt;=50,"Senior")</f>
        <v>Senior</v>
      </c>
      <c r="K961" s="4">
        <v>59</v>
      </c>
      <c r="L961" s="4" t="s">
        <v>23</v>
      </c>
      <c r="M961" s="4">
        <v>2</v>
      </c>
      <c r="N961" s="16">
        <v>30</v>
      </c>
      <c r="O961" s="17">
        <f>M961*N961</f>
        <v>60</v>
      </c>
      <c r="P961" s="13">
        <f>$O961*$U$4</f>
        <v>0.89999999999999991</v>
      </c>
      <c r="Q961" s="13">
        <f>$O961*$U$5</f>
        <v>1.2</v>
      </c>
      <c r="R961" s="13" cm="1">
        <f t="array" ref="R961">_xlfn.IFS(B961=2023,O961*$U$4,B961=2024,O961*$U$5)</f>
        <v>0.89999999999999991</v>
      </c>
    </row>
    <row r="962" spans="1:18">
      <c r="A962" s="2">
        <v>961</v>
      </c>
      <c r="B962" s="4">
        <f t="shared" si="71"/>
        <v>2023</v>
      </c>
      <c r="C962" s="4">
        <f t="shared" si="72"/>
        <v>6</v>
      </c>
      <c r="D962" s="4">
        <f t="shared" si="73"/>
        <v>6</v>
      </c>
      <c r="E962" s="4" t="str">
        <f t="shared" si="74"/>
        <v>Tuesday</v>
      </c>
      <c r="F962" s="4" t="str">
        <f t="shared" si="75"/>
        <v>June</v>
      </c>
      <c r="G962" s="3">
        <v>45083</v>
      </c>
      <c r="H962" s="4" t="s">
        <v>993</v>
      </c>
      <c r="I962" s="4" t="s">
        <v>19</v>
      </c>
      <c r="J962" s="4" t="str" cm="1">
        <f t="array" ref="J962">_xlfn.IFS(K962&lt;30,"Young Adult",K962&lt;50,"Adult",K962&gt;=50,"Senior")</f>
        <v>Senior</v>
      </c>
      <c r="K962" s="4">
        <v>53</v>
      </c>
      <c r="L962" s="4" t="s">
        <v>20</v>
      </c>
      <c r="M962" s="4">
        <v>4</v>
      </c>
      <c r="N962" s="16">
        <v>50</v>
      </c>
      <c r="O962" s="17">
        <f>M962*N962</f>
        <v>200</v>
      </c>
      <c r="P962" s="13">
        <f>$O962*$U$4</f>
        <v>3</v>
      </c>
      <c r="Q962" s="13">
        <f>$O962*$U$5</f>
        <v>4</v>
      </c>
      <c r="R962" s="13" cm="1">
        <f t="array" ref="R962">_xlfn.IFS(B962=2023,O962*$U$4,B962=2024,O962*$U$5)</f>
        <v>3</v>
      </c>
    </row>
    <row r="963" spans="1:18">
      <c r="A963" s="2">
        <v>962</v>
      </c>
      <c r="B963" s="4">
        <f t="shared" ref="B963:B1001" si="76">YEAR(G963)</f>
        <v>2023</v>
      </c>
      <c r="C963" s="4">
        <f t="shared" ref="C963:C1001" si="77">MONTH(G963)</f>
        <v>10</v>
      </c>
      <c r="D963" s="4">
        <f t="shared" ref="D963:D1001" si="78">DAY(G963)</f>
        <v>19</v>
      </c>
      <c r="E963" s="4" t="str">
        <f t="shared" ref="E963:E1001" si="79">TEXT(G963,"dddd")</f>
        <v>Thursday</v>
      </c>
      <c r="F963" s="4" t="str">
        <f t="shared" ref="F963:F1001" si="80">TEXT(G963,"mmmm")</f>
        <v>October</v>
      </c>
      <c r="G963" s="3">
        <v>45218</v>
      </c>
      <c r="H963" s="4" t="s">
        <v>994</v>
      </c>
      <c r="I963" s="4" t="s">
        <v>19</v>
      </c>
      <c r="J963" s="4" t="str" cm="1">
        <f t="array" ref="J963">_xlfn.IFS(K963&lt;30,"Young Adult",K963&lt;50,"Adult",K963&gt;=50,"Senior")</f>
        <v>Adult</v>
      </c>
      <c r="K963" s="4">
        <v>44</v>
      </c>
      <c r="L963" s="4" t="s">
        <v>23</v>
      </c>
      <c r="M963" s="4">
        <v>2</v>
      </c>
      <c r="N963" s="16">
        <v>30</v>
      </c>
      <c r="O963" s="17">
        <f>M963*N963</f>
        <v>60</v>
      </c>
      <c r="P963" s="13">
        <f>$O963*$U$4</f>
        <v>0.89999999999999991</v>
      </c>
      <c r="Q963" s="13">
        <f>$O963*$U$5</f>
        <v>1.2</v>
      </c>
      <c r="R963" s="13" cm="1">
        <f t="array" ref="R963">_xlfn.IFS(B963=2023,O963*$U$4,B963=2024,O963*$U$5)</f>
        <v>0.89999999999999991</v>
      </c>
    </row>
    <row r="964" spans="1:18">
      <c r="A964" s="2">
        <v>963</v>
      </c>
      <c r="B964" s="4">
        <f t="shared" si="76"/>
        <v>2023</v>
      </c>
      <c r="C964" s="4">
        <f t="shared" si="77"/>
        <v>11</v>
      </c>
      <c r="D964" s="4">
        <f t="shared" si="78"/>
        <v>14</v>
      </c>
      <c r="E964" s="4" t="str">
        <f t="shared" si="79"/>
        <v>Tuesday</v>
      </c>
      <c r="F964" s="4" t="str">
        <f t="shared" si="80"/>
        <v>November</v>
      </c>
      <c r="G964" s="3">
        <v>45244</v>
      </c>
      <c r="H964" s="4" t="s">
        <v>995</v>
      </c>
      <c r="I964" s="4" t="s">
        <v>22</v>
      </c>
      <c r="J964" s="4" t="str" cm="1">
        <f t="array" ref="J964">_xlfn.IFS(K964&lt;30,"Young Adult",K964&lt;50,"Adult",K964&gt;=50,"Senior")</f>
        <v>Senior</v>
      </c>
      <c r="K964" s="4">
        <v>55</v>
      </c>
      <c r="L964" s="4" t="s">
        <v>20</v>
      </c>
      <c r="M964" s="4">
        <v>1</v>
      </c>
      <c r="N964" s="16">
        <v>50</v>
      </c>
      <c r="O964" s="17">
        <f>M964*N964</f>
        <v>50</v>
      </c>
      <c r="P964" s="13">
        <f>$O964*$U$4</f>
        <v>0.75</v>
      </c>
      <c r="Q964" s="13">
        <f>$O964*$U$5</f>
        <v>1</v>
      </c>
      <c r="R964" s="13" cm="1">
        <f t="array" ref="R964">_xlfn.IFS(B964=2023,O964*$U$4,B964=2024,O964*$U$5)</f>
        <v>0.75</v>
      </c>
    </row>
    <row r="965" spans="1:18">
      <c r="A965" s="2">
        <v>964</v>
      </c>
      <c r="B965" s="4">
        <f t="shared" si="76"/>
        <v>2023</v>
      </c>
      <c r="C965" s="4">
        <f t="shared" si="77"/>
        <v>1</v>
      </c>
      <c r="D965" s="4">
        <f t="shared" si="78"/>
        <v>31</v>
      </c>
      <c r="E965" s="4" t="str">
        <f t="shared" si="79"/>
        <v>Tuesday</v>
      </c>
      <c r="F965" s="4" t="str">
        <f t="shared" si="80"/>
        <v>January</v>
      </c>
      <c r="G965" s="3">
        <v>44957</v>
      </c>
      <c r="H965" s="4" t="s">
        <v>996</v>
      </c>
      <c r="I965" s="4" t="s">
        <v>19</v>
      </c>
      <c r="J965" s="4" t="str" cm="1">
        <f t="array" ref="J965">_xlfn.IFS(K965&lt;30,"Young Adult",K965&lt;50,"Adult",K965&gt;=50,"Senior")</f>
        <v>Young Adult</v>
      </c>
      <c r="K965" s="4">
        <v>24</v>
      </c>
      <c r="L965" s="4" t="s">
        <v>23</v>
      </c>
      <c r="M965" s="4">
        <v>3</v>
      </c>
      <c r="N965" s="16">
        <v>300</v>
      </c>
      <c r="O965" s="17">
        <f>M965*N965</f>
        <v>900</v>
      </c>
      <c r="P965" s="13">
        <f>$O965*$U$4</f>
        <v>13.5</v>
      </c>
      <c r="Q965" s="13">
        <f>$O965*$U$5</f>
        <v>18</v>
      </c>
      <c r="R965" s="13" cm="1">
        <f t="array" ref="R965">_xlfn.IFS(B965=2023,O965*$U$4,B965=2024,O965*$U$5)</f>
        <v>13.5</v>
      </c>
    </row>
    <row r="966" spans="1:18">
      <c r="A966" s="2">
        <v>965</v>
      </c>
      <c r="B966" s="4">
        <f t="shared" si="76"/>
        <v>2023</v>
      </c>
      <c r="C966" s="4">
        <f t="shared" si="77"/>
        <v>11</v>
      </c>
      <c r="D966" s="4">
        <f t="shared" si="78"/>
        <v>9</v>
      </c>
      <c r="E966" s="4" t="str">
        <f t="shared" si="79"/>
        <v>Thursday</v>
      </c>
      <c r="F966" s="4" t="str">
        <f t="shared" si="80"/>
        <v>November</v>
      </c>
      <c r="G966" s="3">
        <v>45239</v>
      </c>
      <c r="H966" s="4" t="s">
        <v>997</v>
      </c>
      <c r="I966" s="4" t="s">
        <v>19</v>
      </c>
      <c r="J966" s="4" t="str" cm="1">
        <f t="array" ref="J966">_xlfn.IFS(K966&lt;30,"Young Adult",K966&lt;50,"Adult",K966&gt;=50,"Senior")</f>
        <v>Young Adult</v>
      </c>
      <c r="K966" s="4">
        <v>22</v>
      </c>
      <c r="L966" s="4" t="s">
        <v>23</v>
      </c>
      <c r="M966" s="4">
        <v>4</v>
      </c>
      <c r="N966" s="16">
        <v>50</v>
      </c>
      <c r="O966" s="17">
        <f>M966*N966</f>
        <v>200</v>
      </c>
      <c r="P966" s="13">
        <f>$O966*$U$4</f>
        <v>3</v>
      </c>
      <c r="Q966" s="13">
        <f>$O966*$U$5</f>
        <v>4</v>
      </c>
      <c r="R966" s="13" cm="1">
        <f t="array" ref="R966">_xlfn.IFS(B966=2023,O966*$U$4,B966=2024,O966*$U$5)</f>
        <v>3</v>
      </c>
    </row>
    <row r="967" spans="1:18">
      <c r="A967" s="2">
        <v>966</v>
      </c>
      <c r="B967" s="4">
        <f t="shared" si="76"/>
        <v>2023</v>
      </c>
      <c r="C967" s="4">
        <f t="shared" si="77"/>
        <v>2</v>
      </c>
      <c r="D967" s="4">
        <f t="shared" si="78"/>
        <v>20</v>
      </c>
      <c r="E967" s="4" t="str">
        <f t="shared" si="79"/>
        <v>Monday</v>
      </c>
      <c r="F967" s="4" t="str">
        <f t="shared" si="80"/>
        <v>February</v>
      </c>
      <c r="G967" s="3">
        <v>44977</v>
      </c>
      <c r="H967" s="4" t="s">
        <v>998</v>
      </c>
      <c r="I967" s="4" t="s">
        <v>19</v>
      </c>
      <c r="J967" s="4" t="str" cm="1">
        <f t="array" ref="J967">_xlfn.IFS(K967&lt;30,"Young Adult",K967&lt;50,"Adult",K967&gt;=50,"Senior")</f>
        <v>Senior</v>
      </c>
      <c r="K967" s="4">
        <v>60</v>
      </c>
      <c r="L967" s="4" t="s">
        <v>26</v>
      </c>
      <c r="M967" s="4">
        <v>2</v>
      </c>
      <c r="N967" s="16">
        <v>500</v>
      </c>
      <c r="O967" s="17">
        <f>M967*N967</f>
        <v>1000</v>
      </c>
      <c r="P967" s="13">
        <f>$O967*$U$4</f>
        <v>15</v>
      </c>
      <c r="Q967" s="13">
        <f>$O967*$U$5</f>
        <v>20</v>
      </c>
      <c r="R967" s="13" cm="1">
        <f t="array" ref="R967">_xlfn.IFS(B967=2023,O967*$U$4,B967=2024,O967*$U$5)</f>
        <v>15</v>
      </c>
    </row>
    <row r="968" spans="1:18">
      <c r="A968" s="2">
        <v>967</v>
      </c>
      <c r="B968" s="4">
        <f t="shared" si="76"/>
        <v>2023</v>
      </c>
      <c r="C968" s="4">
        <f t="shared" si="77"/>
        <v>4</v>
      </c>
      <c r="D968" s="4">
        <f t="shared" si="78"/>
        <v>17</v>
      </c>
      <c r="E968" s="4" t="str">
        <f t="shared" si="79"/>
        <v>Monday</v>
      </c>
      <c r="F968" s="4" t="str">
        <f t="shared" si="80"/>
        <v>April</v>
      </c>
      <c r="G968" s="3">
        <v>45033</v>
      </c>
      <c r="H968" s="4" t="s">
        <v>999</v>
      </c>
      <c r="I968" s="4" t="s">
        <v>19</v>
      </c>
      <c r="J968" s="4" t="str" cm="1">
        <f t="array" ref="J968">_xlfn.IFS(K968&lt;30,"Young Adult",K968&lt;50,"Adult",K968&gt;=50,"Senior")</f>
        <v>Senior</v>
      </c>
      <c r="K968" s="4">
        <v>62</v>
      </c>
      <c r="L968" s="4" t="s">
        <v>20</v>
      </c>
      <c r="M968" s="4">
        <v>1</v>
      </c>
      <c r="N968" s="16">
        <v>25</v>
      </c>
      <c r="O968" s="17">
        <f>M968*N968</f>
        <v>25</v>
      </c>
      <c r="P968" s="13">
        <f>$O968*$U$4</f>
        <v>0.375</v>
      </c>
      <c r="Q968" s="13">
        <f>$O968*$U$5</f>
        <v>0.5</v>
      </c>
      <c r="R968" s="13" cm="1">
        <f t="array" ref="R968">_xlfn.IFS(B968=2023,O968*$U$4,B968=2024,O968*$U$5)</f>
        <v>0.375</v>
      </c>
    </row>
    <row r="969" spans="1:18">
      <c r="A969" s="2">
        <v>968</v>
      </c>
      <c r="B969" s="4">
        <f t="shared" si="76"/>
        <v>2023</v>
      </c>
      <c r="C969" s="4">
        <f t="shared" si="77"/>
        <v>11</v>
      </c>
      <c r="D969" s="4">
        <f t="shared" si="78"/>
        <v>17</v>
      </c>
      <c r="E969" s="4" t="str">
        <f t="shared" si="79"/>
        <v>Friday</v>
      </c>
      <c r="F969" s="4" t="str">
        <f t="shared" si="80"/>
        <v>November</v>
      </c>
      <c r="G969" s="3">
        <v>45247</v>
      </c>
      <c r="H969" s="4" t="s">
        <v>1000</v>
      </c>
      <c r="I969" s="4" t="s">
        <v>22</v>
      </c>
      <c r="J969" s="4" t="str" cm="1">
        <f t="array" ref="J969">_xlfn.IFS(K969&lt;30,"Young Adult",K969&lt;50,"Adult",K969&gt;=50,"Senior")</f>
        <v>Adult</v>
      </c>
      <c r="K969" s="4">
        <v>48</v>
      </c>
      <c r="L969" s="4" t="s">
        <v>23</v>
      </c>
      <c r="M969" s="4">
        <v>3</v>
      </c>
      <c r="N969" s="16">
        <v>300</v>
      </c>
      <c r="O969" s="17">
        <f>M969*N969</f>
        <v>900</v>
      </c>
      <c r="P969" s="13">
        <f>$O969*$U$4</f>
        <v>13.5</v>
      </c>
      <c r="Q969" s="13">
        <f>$O969*$U$5</f>
        <v>18</v>
      </c>
      <c r="R969" s="13" cm="1">
        <f t="array" ref="R969">_xlfn.IFS(B969=2023,O969*$U$4,B969=2024,O969*$U$5)</f>
        <v>13.5</v>
      </c>
    </row>
    <row r="970" spans="1:18">
      <c r="A970" s="2">
        <v>969</v>
      </c>
      <c r="B970" s="4">
        <f t="shared" si="76"/>
        <v>2023</v>
      </c>
      <c r="C970" s="4">
        <f t="shared" si="77"/>
        <v>4</v>
      </c>
      <c r="D970" s="4">
        <f t="shared" si="78"/>
        <v>19</v>
      </c>
      <c r="E970" s="4" t="str">
        <f t="shared" si="79"/>
        <v>Wednesday</v>
      </c>
      <c r="F970" s="4" t="str">
        <f t="shared" si="80"/>
        <v>April</v>
      </c>
      <c r="G970" s="3">
        <v>45035</v>
      </c>
      <c r="H970" s="4" t="s">
        <v>1001</v>
      </c>
      <c r="I970" s="4" t="s">
        <v>22</v>
      </c>
      <c r="J970" s="4" t="str" cm="1">
        <f t="array" ref="J970">_xlfn.IFS(K970&lt;30,"Young Adult",K970&lt;50,"Adult",K970&gt;=50,"Senior")</f>
        <v>Adult</v>
      </c>
      <c r="K970" s="4">
        <v>40</v>
      </c>
      <c r="L970" s="4" t="s">
        <v>23</v>
      </c>
      <c r="M970" s="4">
        <v>3</v>
      </c>
      <c r="N970" s="16">
        <v>300</v>
      </c>
      <c r="O970" s="17">
        <f>M970*N970</f>
        <v>900</v>
      </c>
      <c r="P970" s="13">
        <f>$O970*$U$4</f>
        <v>13.5</v>
      </c>
      <c r="Q970" s="13">
        <f>$O970*$U$5</f>
        <v>18</v>
      </c>
      <c r="R970" s="13" cm="1">
        <f t="array" ref="R970">_xlfn.IFS(B970=2023,O970*$U$4,B970=2024,O970*$U$5)</f>
        <v>13.5</v>
      </c>
    </row>
    <row r="971" spans="1:18">
      <c r="A971" s="2">
        <v>970</v>
      </c>
      <c r="B971" s="4">
        <f t="shared" si="76"/>
        <v>2023</v>
      </c>
      <c r="C971" s="4">
        <f t="shared" si="77"/>
        <v>5</v>
      </c>
      <c r="D971" s="4">
        <f t="shared" si="78"/>
        <v>16</v>
      </c>
      <c r="E971" s="4" t="str">
        <f t="shared" si="79"/>
        <v>Tuesday</v>
      </c>
      <c r="F971" s="4" t="str">
        <f t="shared" si="80"/>
        <v>May</v>
      </c>
      <c r="G971" s="3">
        <v>45062</v>
      </c>
      <c r="H971" s="4" t="s">
        <v>1002</v>
      </c>
      <c r="I971" s="4" t="s">
        <v>19</v>
      </c>
      <c r="J971" s="4" t="str" cm="1">
        <f t="array" ref="J971">_xlfn.IFS(K971&lt;30,"Young Adult",K971&lt;50,"Adult",K971&gt;=50,"Senior")</f>
        <v>Senior</v>
      </c>
      <c r="K971" s="4">
        <v>59</v>
      </c>
      <c r="L971" s="4" t="s">
        <v>26</v>
      </c>
      <c r="M971" s="4">
        <v>4</v>
      </c>
      <c r="N971" s="16">
        <v>500</v>
      </c>
      <c r="O971" s="17">
        <f>M971*N971</f>
        <v>2000</v>
      </c>
      <c r="P971" s="13">
        <f>$O971*$U$4</f>
        <v>30</v>
      </c>
      <c r="Q971" s="13">
        <f>$O971*$U$5</f>
        <v>40</v>
      </c>
      <c r="R971" s="13" cm="1">
        <f t="array" ref="R971">_xlfn.IFS(B971=2023,O971*$U$4,B971=2024,O971*$U$5)</f>
        <v>30</v>
      </c>
    </row>
    <row r="972" spans="1:18">
      <c r="A972" s="2">
        <v>971</v>
      </c>
      <c r="B972" s="4">
        <f t="shared" si="76"/>
        <v>2023</v>
      </c>
      <c r="C972" s="4">
        <f t="shared" si="77"/>
        <v>12</v>
      </c>
      <c r="D972" s="4">
        <f t="shared" si="78"/>
        <v>5</v>
      </c>
      <c r="E972" s="4" t="str">
        <f t="shared" si="79"/>
        <v>Tuesday</v>
      </c>
      <c r="F972" s="4" t="str">
        <f t="shared" si="80"/>
        <v>December</v>
      </c>
      <c r="G972" s="3">
        <v>45265</v>
      </c>
      <c r="H972" s="4" t="s">
        <v>1003</v>
      </c>
      <c r="I972" s="4" t="s">
        <v>22</v>
      </c>
      <c r="J972" s="4" t="str" cm="1">
        <f t="array" ref="J972">_xlfn.IFS(K972&lt;30,"Young Adult",K972&lt;50,"Adult",K972&gt;=50,"Senior")</f>
        <v>Young Adult</v>
      </c>
      <c r="K972" s="4">
        <v>27</v>
      </c>
      <c r="L972" s="4" t="s">
        <v>26</v>
      </c>
      <c r="M972" s="4">
        <v>4</v>
      </c>
      <c r="N972" s="16">
        <v>50</v>
      </c>
      <c r="O972" s="17">
        <f>M972*N972</f>
        <v>200</v>
      </c>
      <c r="P972" s="13">
        <f>$O972*$U$4</f>
        <v>3</v>
      </c>
      <c r="Q972" s="13">
        <f>$O972*$U$5</f>
        <v>4</v>
      </c>
      <c r="R972" s="13" cm="1">
        <f t="array" ref="R972">_xlfn.IFS(B972=2023,O972*$U$4,B972=2024,O972*$U$5)</f>
        <v>3</v>
      </c>
    </row>
    <row r="973" spans="1:18">
      <c r="A973" s="2">
        <v>972</v>
      </c>
      <c r="B973" s="4">
        <f t="shared" si="76"/>
        <v>2023</v>
      </c>
      <c r="C973" s="4">
        <f t="shared" si="77"/>
        <v>2</v>
      </c>
      <c r="D973" s="4">
        <f t="shared" si="78"/>
        <v>11</v>
      </c>
      <c r="E973" s="4" t="str">
        <f t="shared" si="79"/>
        <v>Saturday</v>
      </c>
      <c r="F973" s="4" t="str">
        <f t="shared" si="80"/>
        <v>February</v>
      </c>
      <c r="G973" s="3">
        <v>44968</v>
      </c>
      <c r="H973" s="4" t="s">
        <v>1004</v>
      </c>
      <c r="I973" s="4" t="s">
        <v>19</v>
      </c>
      <c r="J973" s="4" t="str" cm="1">
        <f t="array" ref="J973">_xlfn.IFS(K973&lt;30,"Young Adult",K973&lt;50,"Adult",K973&gt;=50,"Senior")</f>
        <v>Adult</v>
      </c>
      <c r="K973" s="4">
        <v>49</v>
      </c>
      <c r="L973" s="4" t="s">
        <v>20</v>
      </c>
      <c r="M973" s="4">
        <v>4</v>
      </c>
      <c r="N973" s="16">
        <v>25</v>
      </c>
      <c r="O973" s="17">
        <f>M973*N973</f>
        <v>100</v>
      </c>
      <c r="P973" s="13">
        <f>$O973*$U$4</f>
        <v>1.5</v>
      </c>
      <c r="Q973" s="13">
        <f>$O973*$U$5</f>
        <v>2</v>
      </c>
      <c r="R973" s="13" cm="1">
        <f t="array" ref="R973">_xlfn.IFS(B973=2023,O973*$U$4,B973=2024,O973*$U$5)</f>
        <v>1.5</v>
      </c>
    </row>
    <row r="974" spans="1:18">
      <c r="A974" s="2">
        <v>973</v>
      </c>
      <c r="B974" s="4">
        <f t="shared" si="76"/>
        <v>2023</v>
      </c>
      <c r="C974" s="4">
        <f t="shared" si="77"/>
        <v>3</v>
      </c>
      <c r="D974" s="4">
        <f t="shared" si="78"/>
        <v>22</v>
      </c>
      <c r="E974" s="4" t="str">
        <f t="shared" si="79"/>
        <v>Wednesday</v>
      </c>
      <c r="F974" s="4" t="str">
        <f t="shared" si="80"/>
        <v>March</v>
      </c>
      <c r="G974" s="3">
        <v>45007</v>
      </c>
      <c r="H974" s="4" t="s">
        <v>1005</v>
      </c>
      <c r="I974" s="4" t="s">
        <v>19</v>
      </c>
      <c r="J974" s="4" t="str" cm="1">
        <f t="array" ref="J974">_xlfn.IFS(K974&lt;30,"Young Adult",K974&lt;50,"Adult",K974&gt;=50,"Senior")</f>
        <v>Senior</v>
      </c>
      <c r="K974" s="4">
        <v>60</v>
      </c>
      <c r="L974" s="4" t="s">
        <v>23</v>
      </c>
      <c r="M974" s="4">
        <v>1</v>
      </c>
      <c r="N974" s="16">
        <v>50</v>
      </c>
      <c r="O974" s="17">
        <f>M974*N974</f>
        <v>50</v>
      </c>
      <c r="P974" s="13">
        <f>$O974*$U$4</f>
        <v>0.75</v>
      </c>
      <c r="Q974" s="13">
        <f>$O974*$U$5</f>
        <v>1</v>
      </c>
      <c r="R974" s="13" cm="1">
        <f t="array" ref="R974">_xlfn.IFS(B974=2023,O974*$U$4,B974=2024,O974*$U$5)</f>
        <v>0.75</v>
      </c>
    </row>
    <row r="975" spans="1:18">
      <c r="A975" s="2">
        <v>974</v>
      </c>
      <c r="B975" s="4">
        <f t="shared" si="76"/>
        <v>2023</v>
      </c>
      <c r="C975" s="4">
        <f t="shared" si="77"/>
        <v>5</v>
      </c>
      <c r="D975" s="4">
        <f t="shared" si="78"/>
        <v>3</v>
      </c>
      <c r="E975" s="4" t="str">
        <f t="shared" si="79"/>
        <v>Wednesday</v>
      </c>
      <c r="F975" s="4" t="str">
        <f t="shared" si="80"/>
        <v>May</v>
      </c>
      <c r="G975" s="3">
        <v>45049</v>
      </c>
      <c r="H975" s="4" t="s">
        <v>1006</v>
      </c>
      <c r="I975" s="4" t="s">
        <v>19</v>
      </c>
      <c r="J975" s="4" t="str" cm="1">
        <f t="array" ref="J975">_xlfn.IFS(K975&lt;30,"Young Adult",K975&lt;50,"Adult",K975&gt;=50,"Senior")</f>
        <v>Adult</v>
      </c>
      <c r="K975" s="4">
        <v>47</v>
      </c>
      <c r="L975" s="4" t="s">
        <v>20</v>
      </c>
      <c r="M975" s="4">
        <v>1</v>
      </c>
      <c r="N975" s="16">
        <v>30</v>
      </c>
      <c r="O975" s="17">
        <f>M975*N975</f>
        <v>30</v>
      </c>
      <c r="P975" s="13">
        <f>$O975*$U$4</f>
        <v>0.44999999999999996</v>
      </c>
      <c r="Q975" s="13">
        <f>$O975*$U$5</f>
        <v>0.6</v>
      </c>
      <c r="R975" s="13" cm="1">
        <f t="array" ref="R975">_xlfn.IFS(B975=2023,O975*$U$4,B975=2024,O975*$U$5)</f>
        <v>0.44999999999999996</v>
      </c>
    </row>
    <row r="976" spans="1:18">
      <c r="A976" s="2">
        <v>975</v>
      </c>
      <c r="B976" s="4">
        <f t="shared" si="76"/>
        <v>2023</v>
      </c>
      <c r="C976" s="4">
        <f t="shared" si="77"/>
        <v>3</v>
      </c>
      <c r="D976" s="4">
        <f t="shared" si="78"/>
        <v>30</v>
      </c>
      <c r="E976" s="4" t="str">
        <f t="shared" si="79"/>
        <v>Thursday</v>
      </c>
      <c r="F976" s="4" t="str">
        <f t="shared" si="80"/>
        <v>March</v>
      </c>
      <c r="G976" s="3">
        <v>45015</v>
      </c>
      <c r="H976" s="4" t="s">
        <v>1007</v>
      </c>
      <c r="I976" s="4" t="s">
        <v>22</v>
      </c>
      <c r="J976" s="4" t="str" cm="1">
        <f t="array" ref="J976">_xlfn.IFS(K976&lt;30,"Young Adult",K976&lt;50,"Adult",K976&gt;=50,"Senior")</f>
        <v>Senior</v>
      </c>
      <c r="K976" s="4">
        <v>56</v>
      </c>
      <c r="L976" s="4" t="s">
        <v>23</v>
      </c>
      <c r="M976" s="4">
        <v>4</v>
      </c>
      <c r="N976" s="16">
        <v>50</v>
      </c>
      <c r="O976" s="17">
        <f>M976*N976</f>
        <v>200</v>
      </c>
      <c r="P976" s="13">
        <f>$O976*$U$4</f>
        <v>3</v>
      </c>
      <c r="Q976" s="13">
        <f>$O976*$U$5</f>
        <v>4</v>
      </c>
      <c r="R976" s="13" cm="1">
        <f t="array" ref="R976">_xlfn.IFS(B976=2023,O976*$U$4,B976=2024,O976*$U$5)</f>
        <v>3</v>
      </c>
    </row>
    <row r="977" spans="1:18">
      <c r="A977" s="2">
        <v>976</v>
      </c>
      <c r="B977" s="4">
        <f t="shared" si="76"/>
        <v>2023</v>
      </c>
      <c r="C977" s="4">
        <f t="shared" si="77"/>
        <v>10</v>
      </c>
      <c r="D977" s="4">
        <f t="shared" si="78"/>
        <v>10</v>
      </c>
      <c r="E977" s="4" t="str">
        <f t="shared" si="79"/>
        <v>Tuesday</v>
      </c>
      <c r="F977" s="4" t="str">
        <f t="shared" si="80"/>
        <v>October</v>
      </c>
      <c r="G977" s="3">
        <v>45209</v>
      </c>
      <c r="H977" s="4" t="s">
        <v>1008</v>
      </c>
      <c r="I977" s="4" t="s">
        <v>22</v>
      </c>
      <c r="J977" s="4" t="str" cm="1">
        <f t="array" ref="J977">_xlfn.IFS(K977&lt;30,"Young Adult",K977&lt;50,"Adult",K977&gt;=50,"Senior")</f>
        <v>Adult</v>
      </c>
      <c r="K977" s="4">
        <v>48</v>
      </c>
      <c r="L977" s="4" t="s">
        <v>20</v>
      </c>
      <c r="M977" s="4">
        <v>2</v>
      </c>
      <c r="N977" s="16">
        <v>300</v>
      </c>
      <c r="O977" s="17">
        <f>M977*N977</f>
        <v>600</v>
      </c>
      <c r="P977" s="13">
        <f>$O977*$U$4</f>
        <v>9</v>
      </c>
      <c r="Q977" s="13">
        <f>$O977*$U$5</f>
        <v>12</v>
      </c>
      <c r="R977" s="13" cm="1">
        <f t="array" ref="R977">_xlfn.IFS(B977=2023,O977*$U$4,B977=2024,O977*$U$5)</f>
        <v>9</v>
      </c>
    </row>
    <row r="978" spans="1:18">
      <c r="A978" s="2">
        <v>977</v>
      </c>
      <c r="B978" s="4">
        <f t="shared" si="76"/>
        <v>2023</v>
      </c>
      <c r="C978" s="4">
        <f t="shared" si="77"/>
        <v>2</v>
      </c>
      <c r="D978" s="4">
        <f t="shared" si="78"/>
        <v>8</v>
      </c>
      <c r="E978" s="4" t="str">
        <f t="shared" si="79"/>
        <v>Wednesday</v>
      </c>
      <c r="F978" s="4" t="str">
        <f t="shared" si="80"/>
        <v>February</v>
      </c>
      <c r="G978" s="3">
        <v>44965</v>
      </c>
      <c r="H978" s="4" t="s">
        <v>1009</v>
      </c>
      <c r="I978" s="4" t="s">
        <v>22</v>
      </c>
      <c r="J978" s="4" t="str" cm="1">
        <f t="array" ref="J978">_xlfn.IFS(K978&lt;30,"Young Adult",K978&lt;50,"Adult",K978&gt;=50,"Senior")</f>
        <v>Adult</v>
      </c>
      <c r="K978" s="4">
        <v>35</v>
      </c>
      <c r="L978" s="4" t="s">
        <v>26</v>
      </c>
      <c r="M978" s="4">
        <v>3</v>
      </c>
      <c r="N978" s="16">
        <v>25</v>
      </c>
      <c r="O978" s="17">
        <f>M978*N978</f>
        <v>75</v>
      </c>
      <c r="P978" s="13">
        <f>$O978*$U$4</f>
        <v>1.125</v>
      </c>
      <c r="Q978" s="13">
        <f>$O978*$U$5</f>
        <v>1.5</v>
      </c>
      <c r="R978" s="13" cm="1">
        <f t="array" ref="R978">_xlfn.IFS(B978=2023,O978*$U$4,B978=2024,O978*$U$5)</f>
        <v>1.125</v>
      </c>
    </row>
    <row r="979" spans="1:18">
      <c r="A979" s="2">
        <v>978</v>
      </c>
      <c r="B979" s="4">
        <f t="shared" si="76"/>
        <v>2023</v>
      </c>
      <c r="C979" s="4">
        <f t="shared" si="77"/>
        <v>3</v>
      </c>
      <c r="D979" s="4">
        <f t="shared" si="78"/>
        <v>22</v>
      </c>
      <c r="E979" s="4" t="str">
        <f t="shared" si="79"/>
        <v>Wednesday</v>
      </c>
      <c r="F979" s="4" t="str">
        <f t="shared" si="80"/>
        <v>March</v>
      </c>
      <c r="G979" s="3">
        <v>45007</v>
      </c>
      <c r="H979" s="4" t="s">
        <v>1010</v>
      </c>
      <c r="I979" s="4" t="s">
        <v>22</v>
      </c>
      <c r="J979" s="4" t="str" cm="1">
        <f t="array" ref="J979">_xlfn.IFS(K979&lt;30,"Young Adult",K979&lt;50,"Adult",K979&gt;=50,"Senior")</f>
        <v>Senior</v>
      </c>
      <c r="K979" s="4">
        <v>53</v>
      </c>
      <c r="L979" s="4" t="s">
        <v>23</v>
      </c>
      <c r="M979" s="4">
        <v>3</v>
      </c>
      <c r="N979" s="16">
        <v>50</v>
      </c>
      <c r="O979" s="17">
        <f>M979*N979</f>
        <v>150</v>
      </c>
      <c r="P979" s="13">
        <f>$O979*$U$4</f>
        <v>2.25</v>
      </c>
      <c r="Q979" s="13">
        <f>$O979*$U$5</f>
        <v>3</v>
      </c>
      <c r="R979" s="13" cm="1">
        <f t="array" ref="R979">_xlfn.IFS(B979=2023,O979*$U$4,B979=2024,O979*$U$5)</f>
        <v>2.25</v>
      </c>
    </row>
    <row r="980" spans="1:18">
      <c r="A980" s="2">
        <v>979</v>
      </c>
      <c r="B980" s="4">
        <f t="shared" si="76"/>
        <v>2023</v>
      </c>
      <c r="C980" s="4">
        <f t="shared" si="77"/>
        <v>1</v>
      </c>
      <c r="D980" s="4">
        <f t="shared" si="78"/>
        <v>2</v>
      </c>
      <c r="E980" s="4" t="str">
        <f t="shared" si="79"/>
        <v>Monday</v>
      </c>
      <c r="F980" s="4" t="str">
        <f t="shared" si="80"/>
        <v>January</v>
      </c>
      <c r="G980" s="3">
        <v>44928</v>
      </c>
      <c r="H980" s="4" t="s">
        <v>1011</v>
      </c>
      <c r="I980" s="4" t="s">
        <v>22</v>
      </c>
      <c r="J980" s="4" t="str" cm="1">
        <f t="array" ref="J980">_xlfn.IFS(K980&lt;30,"Young Adult",K980&lt;50,"Adult",K980&gt;=50,"Senior")</f>
        <v>Young Adult</v>
      </c>
      <c r="K980" s="4">
        <v>19</v>
      </c>
      <c r="L980" s="4" t="s">
        <v>20</v>
      </c>
      <c r="M980" s="4">
        <v>1</v>
      </c>
      <c r="N980" s="16">
        <v>25</v>
      </c>
      <c r="O980" s="17">
        <f>M980*N980</f>
        <v>25</v>
      </c>
      <c r="P980" s="13">
        <f>$O980*$U$4</f>
        <v>0.375</v>
      </c>
      <c r="Q980" s="13">
        <f>$O980*$U$5</f>
        <v>0.5</v>
      </c>
      <c r="R980" s="13" cm="1">
        <f t="array" ref="R980">_xlfn.IFS(B980=2023,O980*$U$4,B980=2024,O980*$U$5)</f>
        <v>0.375</v>
      </c>
    </row>
    <row r="981" spans="1:18">
      <c r="A981" s="2">
        <v>980</v>
      </c>
      <c r="B981" s="4">
        <f t="shared" si="76"/>
        <v>2023</v>
      </c>
      <c r="C981" s="4">
        <f t="shared" si="77"/>
        <v>7</v>
      </c>
      <c r="D981" s="4">
        <f t="shared" si="78"/>
        <v>29</v>
      </c>
      <c r="E981" s="4" t="str">
        <f t="shared" si="79"/>
        <v>Saturday</v>
      </c>
      <c r="F981" s="4" t="str">
        <f t="shared" si="80"/>
        <v>July</v>
      </c>
      <c r="G981" s="3">
        <v>45136</v>
      </c>
      <c r="H981" s="4" t="s">
        <v>1012</v>
      </c>
      <c r="I981" s="4" t="s">
        <v>22</v>
      </c>
      <c r="J981" s="4" t="str" cm="1">
        <f t="array" ref="J981">_xlfn.IFS(K981&lt;30,"Young Adult",K981&lt;50,"Adult",K981&gt;=50,"Senior")</f>
        <v>Adult</v>
      </c>
      <c r="K981" s="4">
        <v>31</v>
      </c>
      <c r="L981" s="4" t="s">
        <v>26</v>
      </c>
      <c r="M981" s="4">
        <v>3</v>
      </c>
      <c r="N981" s="16">
        <v>25</v>
      </c>
      <c r="O981" s="17">
        <f>M981*N981</f>
        <v>75</v>
      </c>
      <c r="P981" s="13">
        <f>$O981*$U$4</f>
        <v>1.125</v>
      </c>
      <c r="Q981" s="13">
        <f>$O981*$U$5</f>
        <v>1.5</v>
      </c>
      <c r="R981" s="13" cm="1">
        <f t="array" ref="R981">_xlfn.IFS(B981=2023,O981*$U$4,B981=2024,O981*$U$5)</f>
        <v>1.125</v>
      </c>
    </row>
    <row r="982" spans="1:18">
      <c r="A982" s="2">
        <v>981</v>
      </c>
      <c r="B982" s="4">
        <f t="shared" si="76"/>
        <v>2023</v>
      </c>
      <c r="C982" s="4">
        <f t="shared" si="77"/>
        <v>8</v>
      </c>
      <c r="D982" s="4">
        <f t="shared" si="78"/>
        <v>19</v>
      </c>
      <c r="E982" s="4" t="str">
        <f t="shared" si="79"/>
        <v>Saturday</v>
      </c>
      <c r="F982" s="4" t="str">
        <f t="shared" si="80"/>
        <v>August</v>
      </c>
      <c r="G982" s="3">
        <v>45157</v>
      </c>
      <c r="H982" s="4" t="s">
        <v>1013</v>
      </c>
      <c r="I982" s="4" t="s">
        <v>22</v>
      </c>
      <c r="J982" s="4" t="str" cm="1">
        <f t="array" ref="J982">_xlfn.IFS(K982&lt;30,"Young Adult",K982&lt;50,"Adult",K982&gt;=50,"Senior")</f>
        <v>Adult</v>
      </c>
      <c r="K982" s="4">
        <v>30</v>
      </c>
      <c r="L982" s="4" t="s">
        <v>26</v>
      </c>
      <c r="M982" s="4">
        <v>2</v>
      </c>
      <c r="N982" s="16">
        <v>30</v>
      </c>
      <c r="O982" s="17">
        <f>M982*N982</f>
        <v>60</v>
      </c>
      <c r="P982" s="13">
        <f>$O982*$U$4</f>
        <v>0.89999999999999991</v>
      </c>
      <c r="Q982" s="13">
        <f>$O982*$U$5</f>
        <v>1.2</v>
      </c>
      <c r="R982" s="13" cm="1">
        <f t="array" ref="R982">_xlfn.IFS(B982=2023,O982*$U$4,B982=2024,O982*$U$5)</f>
        <v>0.89999999999999991</v>
      </c>
    </row>
    <row r="983" spans="1:18">
      <c r="A983" s="2">
        <v>982</v>
      </c>
      <c r="B983" s="4">
        <f t="shared" si="76"/>
        <v>2023</v>
      </c>
      <c r="C983" s="4">
        <f t="shared" si="77"/>
        <v>12</v>
      </c>
      <c r="D983" s="4">
        <f t="shared" si="78"/>
        <v>19</v>
      </c>
      <c r="E983" s="4" t="str">
        <f t="shared" si="79"/>
        <v>Tuesday</v>
      </c>
      <c r="F983" s="4" t="str">
        <f t="shared" si="80"/>
        <v>December</v>
      </c>
      <c r="G983" s="3">
        <v>45279</v>
      </c>
      <c r="H983" s="4" t="s">
        <v>1014</v>
      </c>
      <c r="I983" s="4" t="s">
        <v>22</v>
      </c>
      <c r="J983" s="4" t="str" cm="1">
        <f t="array" ref="J983">_xlfn.IFS(K983&lt;30,"Young Adult",K983&lt;50,"Adult",K983&gt;=50,"Senior")</f>
        <v>Adult</v>
      </c>
      <c r="K983" s="4">
        <v>46</v>
      </c>
      <c r="L983" s="4" t="s">
        <v>20</v>
      </c>
      <c r="M983" s="4">
        <v>3</v>
      </c>
      <c r="N983" s="16">
        <v>30</v>
      </c>
      <c r="O983" s="17">
        <f>M983*N983</f>
        <v>90</v>
      </c>
      <c r="P983" s="13">
        <f>$O983*$U$4</f>
        <v>1.3499999999999999</v>
      </c>
      <c r="Q983" s="13">
        <f>$O983*$U$5</f>
        <v>1.8</v>
      </c>
      <c r="R983" s="13" cm="1">
        <f t="array" ref="R983">_xlfn.IFS(B983=2023,O983*$U$4,B983=2024,O983*$U$5)</f>
        <v>1.3499999999999999</v>
      </c>
    </row>
    <row r="984" spans="1:18">
      <c r="A984" s="2">
        <v>983</v>
      </c>
      <c r="B984" s="4">
        <f t="shared" si="76"/>
        <v>2023</v>
      </c>
      <c r="C984" s="4">
        <f t="shared" si="77"/>
        <v>11</v>
      </c>
      <c r="D984" s="4">
        <f t="shared" si="78"/>
        <v>1</v>
      </c>
      <c r="E984" s="4" t="str">
        <f t="shared" si="79"/>
        <v>Wednesday</v>
      </c>
      <c r="F984" s="4" t="str">
        <f t="shared" si="80"/>
        <v>November</v>
      </c>
      <c r="G984" s="3">
        <v>45231</v>
      </c>
      <c r="H984" s="4" t="s">
        <v>1015</v>
      </c>
      <c r="I984" s="4" t="s">
        <v>22</v>
      </c>
      <c r="J984" s="4" t="str" cm="1">
        <f t="array" ref="J984">_xlfn.IFS(K984&lt;30,"Young Adult",K984&lt;50,"Adult",K984&gt;=50,"Senior")</f>
        <v>Young Adult</v>
      </c>
      <c r="K984" s="4">
        <v>29</v>
      </c>
      <c r="L984" s="4" t="s">
        <v>23</v>
      </c>
      <c r="M984" s="4">
        <v>1</v>
      </c>
      <c r="N984" s="16">
        <v>300</v>
      </c>
      <c r="O984" s="17">
        <f>M984*N984</f>
        <v>300</v>
      </c>
      <c r="P984" s="13">
        <f>$O984*$U$4</f>
        <v>4.5</v>
      </c>
      <c r="Q984" s="13">
        <f>$O984*$U$5</f>
        <v>6</v>
      </c>
      <c r="R984" s="13" cm="1">
        <f t="array" ref="R984">_xlfn.IFS(B984=2023,O984*$U$4,B984=2024,O984*$U$5)</f>
        <v>4.5</v>
      </c>
    </row>
    <row r="985" spans="1:18">
      <c r="A985" s="2">
        <v>984</v>
      </c>
      <c r="B985" s="4">
        <f t="shared" si="76"/>
        <v>2023</v>
      </c>
      <c r="C985" s="4">
        <f t="shared" si="77"/>
        <v>8</v>
      </c>
      <c r="D985" s="4">
        <f t="shared" si="78"/>
        <v>29</v>
      </c>
      <c r="E985" s="4" t="str">
        <f t="shared" si="79"/>
        <v>Tuesday</v>
      </c>
      <c r="F985" s="4" t="str">
        <f t="shared" si="80"/>
        <v>August</v>
      </c>
      <c r="G985" s="3">
        <v>45167</v>
      </c>
      <c r="H985" s="4" t="s">
        <v>1016</v>
      </c>
      <c r="I985" s="4" t="s">
        <v>19</v>
      </c>
      <c r="J985" s="4" t="str" cm="1">
        <f t="array" ref="J985">_xlfn.IFS(K985&lt;30,"Young Adult",K985&lt;50,"Adult",K985&gt;=50,"Senior")</f>
        <v>Senior</v>
      </c>
      <c r="K985" s="4">
        <v>56</v>
      </c>
      <c r="L985" s="4" t="s">
        <v>23</v>
      </c>
      <c r="M985" s="4">
        <v>1</v>
      </c>
      <c r="N985" s="16">
        <v>500</v>
      </c>
      <c r="O985" s="17">
        <f>M985*N985</f>
        <v>500</v>
      </c>
      <c r="P985" s="13">
        <f>$O985*$U$4</f>
        <v>7.5</v>
      </c>
      <c r="Q985" s="13">
        <f>$O985*$U$5</f>
        <v>10</v>
      </c>
      <c r="R985" s="13" cm="1">
        <f t="array" ref="R985">_xlfn.IFS(B985=2023,O985*$U$4,B985=2024,O985*$U$5)</f>
        <v>7.5</v>
      </c>
    </row>
    <row r="986" spans="1:18">
      <c r="A986" s="2">
        <v>985</v>
      </c>
      <c r="B986" s="4">
        <f t="shared" si="76"/>
        <v>2023</v>
      </c>
      <c r="C986" s="4">
        <f t="shared" si="77"/>
        <v>5</v>
      </c>
      <c r="D986" s="4">
        <f t="shared" si="78"/>
        <v>30</v>
      </c>
      <c r="E986" s="4" t="str">
        <f t="shared" si="79"/>
        <v>Tuesday</v>
      </c>
      <c r="F986" s="4" t="str">
        <f t="shared" si="80"/>
        <v>May</v>
      </c>
      <c r="G986" s="3">
        <v>45076</v>
      </c>
      <c r="H986" s="4" t="s">
        <v>1017</v>
      </c>
      <c r="I986" s="4" t="s">
        <v>22</v>
      </c>
      <c r="J986" s="4" t="str" cm="1">
        <f t="array" ref="J986">_xlfn.IFS(K986&lt;30,"Young Adult",K986&lt;50,"Adult",K986&gt;=50,"Senior")</f>
        <v>Young Adult</v>
      </c>
      <c r="K986" s="4">
        <v>19</v>
      </c>
      <c r="L986" s="4" t="s">
        <v>26</v>
      </c>
      <c r="M986" s="4">
        <v>2</v>
      </c>
      <c r="N986" s="16">
        <v>25</v>
      </c>
      <c r="O986" s="17">
        <f>M986*N986</f>
        <v>50</v>
      </c>
      <c r="P986" s="13">
        <f>$O986*$U$4</f>
        <v>0.75</v>
      </c>
      <c r="Q986" s="13">
        <f>$O986*$U$5</f>
        <v>1</v>
      </c>
      <c r="R986" s="13" cm="1">
        <f t="array" ref="R986">_xlfn.IFS(B986=2023,O986*$U$4,B986=2024,O986*$U$5)</f>
        <v>0.75</v>
      </c>
    </row>
    <row r="987" spans="1:18">
      <c r="A987" s="2">
        <v>986</v>
      </c>
      <c r="B987" s="4">
        <f t="shared" si="76"/>
        <v>2023</v>
      </c>
      <c r="C987" s="4">
        <f t="shared" si="77"/>
        <v>1</v>
      </c>
      <c r="D987" s="4">
        <f t="shared" si="78"/>
        <v>17</v>
      </c>
      <c r="E987" s="4" t="str">
        <f t="shared" si="79"/>
        <v>Tuesday</v>
      </c>
      <c r="F987" s="4" t="str">
        <f t="shared" si="80"/>
        <v>January</v>
      </c>
      <c r="G987" s="3">
        <v>44943</v>
      </c>
      <c r="H987" s="4" t="s">
        <v>1018</v>
      </c>
      <c r="I987" s="4" t="s">
        <v>22</v>
      </c>
      <c r="J987" s="4" t="str" cm="1">
        <f t="array" ref="J987">_xlfn.IFS(K987&lt;30,"Young Adult",K987&lt;50,"Adult",K987&gt;=50,"Senior")</f>
        <v>Adult</v>
      </c>
      <c r="K987" s="4">
        <v>49</v>
      </c>
      <c r="L987" s="4" t="s">
        <v>23</v>
      </c>
      <c r="M987" s="4">
        <v>2</v>
      </c>
      <c r="N987" s="16">
        <v>500</v>
      </c>
      <c r="O987" s="17">
        <f>M987*N987</f>
        <v>1000</v>
      </c>
      <c r="P987" s="13">
        <f>$O987*$U$4</f>
        <v>15</v>
      </c>
      <c r="Q987" s="13">
        <f>$O987*$U$5</f>
        <v>20</v>
      </c>
      <c r="R987" s="13" cm="1">
        <f t="array" ref="R987">_xlfn.IFS(B987=2023,O987*$U$4,B987=2024,O987*$U$5)</f>
        <v>15</v>
      </c>
    </row>
    <row r="988" spans="1:18">
      <c r="A988" s="2">
        <v>987</v>
      </c>
      <c r="B988" s="4">
        <f t="shared" si="76"/>
        <v>2023</v>
      </c>
      <c r="C988" s="4">
        <f t="shared" si="77"/>
        <v>4</v>
      </c>
      <c r="D988" s="4">
        <f t="shared" si="78"/>
        <v>29</v>
      </c>
      <c r="E988" s="4" t="str">
        <f t="shared" si="79"/>
        <v>Saturday</v>
      </c>
      <c r="F988" s="4" t="str">
        <f t="shared" si="80"/>
        <v>April</v>
      </c>
      <c r="G988" s="3">
        <v>45045</v>
      </c>
      <c r="H988" s="4" t="s">
        <v>1019</v>
      </c>
      <c r="I988" s="4" t="s">
        <v>22</v>
      </c>
      <c r="J988" s="4" t="str" cm="1">
        <f t="array" ref="J988">_xlfn.IFS(K988&lt;30,"Young Adult",K988&lt;50,"Adult",K988&gt;=50,"Senior")</f>
        <v>Adult</v>
      </c>
      <c r="K988" s="4">
        <v>30</v>
      </c>
      <c r="L988" s="4" t="s">
        <v>23</v>
      </c>
      <c r="M988" s="4">
        <v>3</v>
      </c>
      <c r="N988" s="16">
        <v>300</v>
      </c>
      <c r="O988" s="17">
        <f>M988*N988</f>
        <v>900</v>
      </c>
      <c r="P988" s="13">
        <f>$O988*$U$4</f>
        <v>13.5</v>
      </c>
      <c r="Q988" s="13">
        <f>$O988*$U$5</f>
        <v>18</v>
      </c>
      <c r="R988" s="13" cm="1">
        <f t="array" ref="R988">_xlfn.IFS(B988=2023,O988*$U$4,B988=2024,O988*$U$5)</f>
        <v>13.5</v>
      </c>
    </row>
    <row r="989" spans="1:18">
      <c r="A989" s="2">
        <v>988</v>
      </c>
      <c r="B989" s="4">
        <f t="shared" si="76"/>
        <v>2023</v>
      </c>
      <c r="C989" s="4">
        <f t="shared" si="77"/>
        <v>5</v>
      </c>
      <c r="D989" s="4">
        <f t="shared" si="78"/>
        <v>28</v>
      </c>
      <c r="E989" s="4" t="str">
        <f t="shared" si="79"/>
        <v>Sunday</v>
      </c>
      <c r="F989" s="4" t="str">
        <f t="shared" si="80"/>
        <v>May</v>
      </c>
      <c r="G989" s="3">
        <v>45074</v>
      </c>
      <c r="H989" s="4" t="s">
        <v>1020</v>
      </c>
      <c r="I989" s="4" t="s">
        <v>22</v>
      </c>
      <c r="J989" s="4" t="str" cm="1">
        <f t="array" ref="J989">_xlfn.IFS(K989&lt;30,"Young Adult",K989&lt;50,"Adult",K989&gt;=50,"Senior")</f>
        <v>Senior</v>
      </c>
      <c r="K989" s="4">
        <v>63</v>
      </c>
      <c r="L989" s="4" t="s">
        <v>23</v>
      </c>
      <c r="M989" s="4">
        <v>3</v>
      </c>
      <c r="N989" s="16">
        <v>25</v>
      </c>
      <c r="O989" s="17">
        <f>M989*N989</f>
        <v>75</v>
      </c>
      <c r="P989" s="13">
        <f>$O989*$U$4</f>
        <v>1.125</v>
      </c>
      <c r="Q989" s="13">
        <f>$O989*$U$5</f>
        <v>1.5</v>
      </c>
      <c r="R989" s="13" cm="1">
        <f t="array" ref="R989">_xlfn.IFS(B989=2023,O989*$U$4,B989=2024,O989*$U$5)</f>
        <v>1.125</v>
      </c>
    </row>
    <row r="990" spans="1:18">
      <c r="A990" s="2">
        <v>989</v>
      </c>
      <c r="B990" s="4">
        <f t="shared" si="76"/>
        <v>2023</v>
      </c>
      <c r="C990" s="4">
        <f t="shared" si="77"/>
        <v>12</v>
      </c>
      <c r="D990" s="4">
        <f t="shared" si="78"/>
        <v>28</v>
      </c>
      <c r="E990" s="4" t="str">
        <f t="shared" si="79"/>
        <v>Thursday</v>
      </c>
      <c r="F990" s="4" t="str">
        <f t="shared" si="80"/>
        <v>December</v>
      </c>
      <c r="G990" s="3">
        <v>45288</v>
      </c>
      <c r="H990" s="4" t="s">
        <v>1021</v>
      </c>
      <c r="I990" s="4" t="s">
        <v>22</v>
      </c>
      <c r="J990" s="4" t="str" cm="1">
        <f t="array" ref="J990">_xlfn.IFS(K990&lt;30,"Young Adult",K990&lt;50,"Adult",K990&gt;=50,"Senior")</f>
        <v>Adult</v>
      </c>
      <c r="K990" s="4">
        <v>44</v>
      </c>
      <c r="L990" s="4" t="s">
        <v>26</v>
      </c>
      <c r="M990" s="4">
        <v>1</v>
      </c>
      <c r="N990" s="16">
        <v>25</v>
      </c>
      <c r="O990" s="17">
        <f>M990*N990</f>
        <v>25</v>
      </c>
      <c r="P990" s="13">
        <f>$O990*$U$4</f>
        <v>0.375</v>
      </c>
      <c r="Q990" s="13">
        <f>$O990*$U$5</f>
        <v>0.5</v>
      </c>
      <c r="R990" s="13" cm="1">
        <f t="array" ref="R990">_xlfn.IFS(B990=2023,O990*$U$4,B990=2024,O990*$U$5)</f>
        <v>0.375</v>
      </c>
    </row>
    <row r="991" spans="1:18">
      <c r="A991" s="2">
        <v>990</v>
      </c>
      <c r="B991" s="4">
        <f t="shared" si="76"/>
        <v>2023</v>
      </c>
      <c r="C991" s="4">
        <f t="shared" si="77"/>
        <v>5</v>
      </c>
      <c r="D991" s="4">
        <f t="shared" si="78"/>
        <v>25</v>
      </c>
      <c r="E991" s="4" t="str">
        <f t="shared" si="79"/>
        <v>Thursday</v>
      </c>
      <c r="F991" s="4" t="str">
        <f t="shared" si="80"/>
        <v>May</v>
      </c>
      <c r="G991" s="3">
        <v>45071</v>
      </c>
      <c r="H991" s="4" t="s">
        <v>1022</v>
      </c>
      <c r="I991" s="4" t="s">
        <v>22</v>
      </c>
      <c r="J991" s="4" t="str" cm="1">
        <f t="array" ref="J991">_xlfn.IFS(K991&lt;30,"Young Adult",K991&lt;50,"Adult",K991&gt;=50,"Senior")</f>
        <v>Senior</v>
      </c>
      <c r="K991" s="4">
        <v>58</v>
      </c>
      <c r="L991" s="4" t="s">
        <v>20</v>
      </c>
      <c r="M991" s="4">
        <v>2</v>
      </c>
      <c r="N991" s="16">
        <v>500</v>
      </c>
      <c r="O991" s="17">
        <f>M991*N991</f>
        <v>1000</v>
      </c>
      <c r="P991" s="13">
        <f>$O991*$U$4</f>
        <v>15</v>
      </c>
      <c r="Q991" s="13">
        <f>$O991*$U$5</f>
        <v>20</v>
      </c>
      <c r="R991" s="13" cm="1">
        <f t="array" ref="R991">_xlfn.IFS(B991=2023,O991*$U$4,B991=2024,O991*$U$5)</f>
        <v>15</v>
      </c>
    </row>
    <row r="992" spans="1:18">
      <c r="A992" s="2">
        <v>991</v>
      </c>
      <c r="B992" s="4">
        <f t="shared" si="76"/>
        <v>2023</v>
      </c>
      <c r="C992" s="4">
        <f t="shared" si="77"/>
        <v>12</v>
      </c>
      <c r="D992" s="4">
        <f t="shared" si="78"/>
        <v>26</v>
      </c>
      <c r="E992" s="4" t="str">
        <f t="shared" si="79"/>
        <v>Tuesday</v>
      </c>
      <c r="F992" s="4" t="str">
        <f t="shared" si="80"/>
        <v>December</v>
      </c>
      <c r="G992" s="3">
        <v>45286</v>
      </c>
      <c r="H992" s="4" t="s">
        <v>1023</v>
      </c>
      <c r="I992" s="4" t="s">
        <v>22</v>
      </c>
      <c r="J992" s="4" t="str" cm="1">
        <f t="array" ref="J992">_xlfn.IFS(K992&lt;30,"Young Adult",K992&lt;50,"Adult",K992&gt;=50,"Senior")</f>
        <v>Adult</v>
      </c>
      <c r="K992" s="4">
        <v>34</v>
      </c>
      <c r="L992" s="4" t="s">
        <v>23</v>
      </c>
      <c r="M992" s="4">
        <v>2</v>
      </c>
      <c r="N992" s="16">
        <v>50</v>
      </c>
      <c r="O992" s="17">
        <f>M992*N992</f>
        <v>100</v>
      </c>
      <c r="P992" s="13">
        <f>$O992*$U$4</f>
        <v>1.5</v>
      </c>
      <c r="Q992" s="13">
        <f>$O992*$U$5</f>
        <v>2</v>
      </c>
      <c r="R992" s="13" cm="1">
        <f t="array" ref="R992">_xlfn.IFS(B992=2023,O992*$U$4,B992=2024,O992*$U$5)</f>
        <v>1.5</v>
      </c>
    </row>
    <row r="993" spans="1:18">
      <c r="A993" s="2">
        <v>992</v>
      </c>
      <c r="B993" s="4">
        <f t="shared" si="76"/>
        <v>2023</v>
      </c>
      <c r="C993" s="4">
        <f t="shared" si="77"/>
        <v>8</v>
      </c>
      <c r="D993" s="4">
        <f t="shared" si="78"/>
        <v>21</v>
      </c>
      <c r="E993" s="4" t="str">
        <f t="shared" si="79"/>
        <v>Monday</v>
      </c>
      <c r="F993" s="4" t="str">
        <f t="shared" si="80"/>
        <v>August</v>
      </c>
      <c r="G993" s="3">
        <v>45159</v>
      </c>
      <c r="H993" s="4" t="s">
        <v>1024</v>
      </c>
      <c r="I993" s="4" t="s">
        <v>22</v>
      </c>
      <c r="J993" s="4" t="str" cm="1">
        <f t="array" ref="J993">_xlfn.IFS(K993&lt;30,"Young Adult",K993&lt;50,"Adult",K993&gt;=50,"Senior")</f>
        <v>Senior</v>
      </c>
      <c r="K993" s="4">
        <v>57</v>
      </c>
      <c r="L993" s="4" t="s">
        <v>26</v>
      </c>
      <c r="M993" s="4">
        <v>2</v>
      </c>
      <c r="N993" s="16">
        <v>30</v>
      </c>
      <c r="O993" s="17">
        <f>M993*N993</f>
        <v>60</v>
      </c>
      <c r="P993" s="13">
        <f>$O993*$U$4</f>
        <v>0.89999999999999991</v>
      </c>
      <c r="Q993" s="13">
        <f>$O993*$U$5</f>
        <v>1.2</v>
      </c>
      <c r="R993" s="13" cm="1">
        <f t="array" ref="R993">_xlfn.IFS(B993=2023,O993*$U$4,B993=2024,O993*$U$5)</f>
        <v>0.89999999999999991</v>
      </c>
    </row>
    <row r="994" spans="1:18">
      <c r="A994" s="2">
        <v>993</v>
      </c>
      <c r="B994" s="4">
        <f t="shared" si="76"/>
        <v>2023</v>
      </c>
      <c r="C994" s="4">
        <f t="shared" si="77"/>
        <v>2</v>
      </c>
      <c r="D994" s="4">
        <f t="shared" si="78"/>
        <v>6</v>
      </c>
      <c r="E994" s="4" t="str">
        <f t="shared" si="79"/>
        <v>Monday</v>
      </c>
      <c r="F994" s="4" t="str">
        <f t="shared" si="80"/>
        <v>February</v>
      </c>
      <c r="G994" s="3">
        <v>44963</v>
      </c>
      <c r="H994" s="4" t="s">
        <v>1025</v>
      </c>
      <c r="I994" s="4" t="s">
        <v>22</v>
      </c>
      <c r="J994" s="4" t="str" cm="1">
        <f t="array" ref="J994">_xlfn.IFS(K994&lt;30,"Young Adult",K994&lt;50,"Adult",K994&gt;=50,"Senior")</f>
        <v>Adult</v>
      </c>
      <c r="K994" s="4">
        <v>48</v>
      </c>
      <c r="L994" s="4" t="s">
        <v>26</v>
      </c>
      <c r="M994" s="4">
        <v>3</v>
      </c>
      <c r="N994" s="16">
        <v>50</v>
      </c>
      <c r="O994" s="17">
        <f>M994*N994</f>
        <v>150</v>
      </c>
      <c r="P994" s="13">
        <f>$O994*$U$4</f>
        <v>2.25</v>
      </c>
      <c r="Q994" s="13">
        <f>$O994*$U$5</f>
        <v>3</v>
      </c>
      <c r="R994" s="13" cm="1">
        <f t="array" ref="R994">_xlfn.IFS(B994=2023,O994*$U$4,B994=2024,O994*$U$5)</f>
        <v>2.25</v>
      </c>
    </row>
    <row r="995" spans="1:18">
      <c r="A995" s="2">
        <v>994</v>
      </c>
      <c r="B995" s="4">
        <f t="shared" si="76"/>
        <v>2023</v>
      </c>
      <c r="C995" s="4">
        <f t="shared" si="77"/>
        <v>12</v>
      </c>
      <c r="D995" s="4">
        <f t="shared" si="78"/>
        <v>18</v>
      </c>
      <c r="E995" s="4" t="str">
        <f t="shared" si="79"/>
        <v>Monday</v>
      </c>
      <c r="F995" s="4" t="str">
        <f t="shared" si="80"/>
        <v>December</v>
      </c>
      <c r="G995" s="3">
        <v>45278</v>
      </c>
      <c r="H995" s="4" t="s">
        <v>1026</v>
      </c>
      <c r="I995" s="4" t="s">
        <v>22</v>
      </c>
      <c r="J995" s="4" t="str" cm="1">
        <f t="array" ref="J995">_xlfn.IFS(K995&lt;30,"Young Adult",K995&lt;50,"Adult",K995&gt;=50,"Senior")</f>
        <v>Senior</v>
      </c>
      <c r="K995" s="4">
        <v>51</v>
      </c>
      <c r="L995" s="4" t="s">
        <v>20</v>
      </c>
      <c r="M995" s="4">
        <v>2</v>
      </c>
      <c r="N995" s="16">
        <v>500</v>
      </c>
      <c r="O995" s="17">
        <f>M995*N995</f>
        <v>1000</v>
      </c>
      <c r="P995" s="13">
        <f>$O995*$U$4</f>
        <v>15</v>
      </c>
      <c r="Q995" s="13">
        <f>$O995*$U$5</f>
        <v>20</v>
      </c>
      <c r="R995" s="13" cm="1">
        <f t="array" ref="R995">_xlfn.IFS(B995=2023,O995*$U$4,B995=2024,O995*$U$5)</f>
        <v>15</v>
      </c>
    </row>
    <row r="996" spans="1:18">
      <c r="A996" s="2">
        <v>995</v>
      </c>
      <c r="B996" s="4">
        <f t="shared" si="76"/>
        <v>2023</v>
      </c>
      <c r="C996" s="4">
        <f t="shared" si="77"/>
        <v>4</v>
      </c>
      <c r="D996" s="4">
        <f t="shared" si="78"/>
        <v>30</v>
      </c>
      <c r="E996" s="4" t="str">
        <f t="shared" si="79"/>
        <v>Sunday</v>
      </c>
      <c r="F996" s="4" t="str">
        <f t="shared" si="80"/>
        <v>April</v>
      </c>
      <c r="G996" s="3">
        <v>45046</v>
      </c>
      <c r="H996" s="4" t="s">
        <v>1027</v>
      </c>
      <c r="I996" s="4" t="s">
        <v>22</v>
      </c>
      <c r="J996" s="4" t="str" cm="1">
        <f t="array" ref="J996">_xlfn.IFS(K996&lt;30,"Young Adult",K996&lt;50,"Adult",K996&gt;=50,"Senior")</f>
        <v>Adult</v>
      </c>
      <c r="K996" s="4">
        <v>41</v>
      </c>
      <c r="L996" s="4" t="s">
        <v>23</v>
      </c>
      <c r="M996" s="4">
        <v>1</v>
      </c>
      <c r="N996" s="16">
        <v>30</v>
      </c>
      <c r="O996" s="17">
        <f>M996*N996</f>
        <v>30</v>
      </c>
      <c r="P996" s="13">
        <f>$O996*$U$4</f>
        <v>0.44999999999999996</v>
      </c>
      <c r="Q996" s="13">
        <f>$O996*$U$5</f>
        <v>0.6</v>
      </c>
      <c r="R996" s="13" cm="1">
        <f t="array" ref="R996">_xlfn.IFS(B996=2023,O996*$U$4,B996=2024,O996*$U$5)</f>
        <v>0.44999999999999996</v>
      </c>
    </row>
    <row r="997" spans="1:18">
      <c r="A997" s="2">
        <v>996</v>
      </c>
      <c r="B997" s="4">
        <f t="shared" si="76"/>
        <v>2023</v>
      </c>
      <c r="C997" s="4">
        <f t="shared" si="77"/>
        <v>5</v>
      </c>
      <c r="D997" s="4">
        <f t="shared" si="78"/>
        <v>16</v>
      </c>
      <c r="E997" s="4" t="str">
        <f t="shared" si="79"/>
        <v>Tuesday</v>
      </c>
      <c r="F997" s="4" t="str">
        <f t="shared" si="80"/>
        <v>May</v>
      </c>
      <c r="G997" s="3">
        <v>45062</v>
      </c>
      <c r="H997" s="4" t="s">
        <v>1028</v>
      </c>
      <c r="I997" s="4" t="s">
        <v>19</v>
      </c>
      <c r="J997" s="4" t="str" cm="1">
        <f t="array" ref="J997">_xlfn.IFS(K997&lt;30,"Young Adult",K997&lt;50,"Adult",K997&gt;=50,"Senior")</f>
        <v>Senior</v>
      </c>
      <c r="K997" s="4">
        <v>62</v>
      </c>
      <c r="L997" s="4" t="s">
        <v>23</v>
      </c>
      <c r="M997" s="4">
        <v>1</v>
      </c>
      <c r="N997" s="16">
        <v>50</v>
      </c>
      <c r="O997" s="17">
        <f>M997*N997</f>
        <v>50</v>
      </c>
      <c r="P997" s="13">
        <f>$O997*$U$4</f>
        <v>0.75</v>
      </c>
      <c r="Q997" s="13">
        <f>$O997*$U$5</f>
        <v>1</v>
      </c>
      <c r="R997" s="13" cm="1">
        <f t="array" ref="R997">_xlfn.IFS(B997=2023,O997*$U$4,B997=2024,O997*$U$5)</f>
        <v>0.75</v>
      </c>
    </row>
    <row r="998" spans="1:18">
      <c r="A998" s="2">
        <v>997</v>
      </c>
      <c r="B998" s="4">
        <f t="shared" si="76"/>
        <v>2023</v>
      </c>
      <c r="C998" s="4">
        <f t="shared" si="77"/>
        <v>11</v>
      </c>
      <c r="D998" s="4">
        <f t="shared" si="78"/>
        <v>17</v>
      </c>
      <c r="E998" s="4" t="str">
        <f t="shared" si="79"/>
        <v>Friday</v>
      </c>
      <c r="F998" s="4" t="str">
        <f t="shared" si="80"/>
        <v>November</v>
      </c>
      <c r="G998" s="3">
        <v>45247</v>
      </c>
      <c r="H998" s="4" t="s">
        <v>1029</v>
      </c>
      <c r="I998" s="4" t="s">
        <v>19</v>
      </c>
      <c r="J998" s="4" t="str" cm="1">
        <f t="array" ref="J998">_xlfn.IFS(K998&lt;30,"Young Adult",K998&lt;50,"Adult",K998&gt;=50,"Senior")</f>
        <v>Senior</v>
      </c>
      <c r="K998" s="4">
        <v>52</v>
      </c>
      <c r="L998" s="4" t="s">
        <v>20</v>
      </c>
      <c r="M998" s="4">
        <v>3</v>
      </c>
      <c r="N998" s="16">
        <v>30</v>
      </c>
      <c r="O998" s="17">
        <f>M998*N998</f>
        <v>90</v>
      </c>
      <c r="P998" s="13">
        <f>$O998*$U$4</f>
        <v>1.3499999999999999</v>
      </c>
      <c r="Q998" s="13">
        <f>$O998*$U$5</f>
        <v>1.8</v>
      </c>
      <c r="R998" s="13" cm="1">
        <f t="array" ref="R998">_xlfn.IFS(B998=2023,O998*$U$4,B998=2024,O998*$U$5)</f>
        <v>1.3499999999999999</v>
      </c>
    </row>
    <row r="999" spans="1:18">
      <c r="A999" s="2">
        <v>998</v>
      </c>
      <c r="B999" s="4">
        <f t="shared" si="76"/>
        <v>2023</v>
      </c>
      <c r="C999" s="4">
        <f t="shared" si="77"/>
        <v>10</v>
      </c>
      <c r="D999" s="4">
        <f t="shared" si="78"/>
        <v>29</v>
      </c>
      <c r="E999" s="4" t="str">
        <f t="shared" si="79"/>
        <v>Sunday</v>
      </c>
      <c r="F999" s="4" t="str">
        <f t="shared" si="80"/>
        <v>October</v>
      </c>
      <c r="G999" s="3">
        <v>45228</v>
      </c>
      <c r="H999" s="4" t="s">
        <v>1030</v>
      </c>
      <c r="I999" s="4" t="s">
        <v>22</v>
      </c>
      <c r="J999" s="4" t="str" cm="1">
        <f t="array" ref="J999">_xlfn.IFS(K999&lt;30,"Young Adult",K999&lt;50,"Adult",K999&gt;=50,"Senior")</f>
        <v>Young Adult</v>
      </c>
      <c r="K999" s="4">
        <v>23</v>
      </c>
      <c r="L999" s="4" t="s">
        <v>20</v>
      </c>
      <c r="M999" s="4">
        <v>4</v>
      </c>
      <c r="N999" s="16">
        <v>25</v>
      </c>
      <c r="O999" s="17">
        <f>M999*N999</f>
        <v>100</v>
      </c>
      <c r="P999" s="13">
        <f>$O999*$U$4</f>
        <v>1.5</v>
      </c>
      <c r="Q999" s="13">
        <f>$O999*$U$5</f>
        <v>2</v>
      </c>
      <c r="R999" s="13" cm="1">
        <f t="array" ref="R999">_xlfn.IFS(B999=2023,O999*$U$4,B999=2024,O999*$U$5)</f>
        <v>1.5</v>
      </c>
    </row>
    <row r="1000" spans="1:18">
      <c r="A1000" s="2">
        <v>999</v>
      </c>
      <c r="B1000" s="4">
        <f t="shared" si="76"/>
        <v>2023</v>
      </c>
      <c r="C1000" s="4">
        <f t="shared" si="77"/>
        <v>12</v>
      </c>
      <c r="D1000" s="4">
        <f t="shared" si="78"/>
        <v>5</v>
      </c>
      <c r="E1000" s="4" t="str">
        <f t="shared" si="79"/>
        <v>Tuesday</v>
      </c>
      <c r="F1000" s="4" t="str">
        <f t="shared" si="80"/>
        <v>December</v>
      </c>
      <c r="G1000" s="3">
        <v>45265</v>
      </c>
      <c r="H1000" s="4" t="s">
        <v>1031</v>
      </c>
      <c r="I1000" s="4" t="s">
        <v>22</v>
      </c>
      <c r="J1000" s="4" t="str" cm="1">
        <f t="array" ref="J1000">_xlfn.IFS(K1000&lt;30,"Young Adult",K1000&lt;50,"Adult",K1000&gt;=50,"Senior")</f>
        <v>Adult</v>
      </c>
      <c r="K1000" s="4">
        <v>36</v>
      </c>
      <c r="L1000" s="4" t="s">
        <v>26</v>
      </c>
      <c r="M1000" s="4">
        <v>3</v>
      </c>
      <c r="N1000" s="16">
        <v>50</v>
      </c>
      <c r="O1000" s="17">
        <f>M1000*N1000</f>
        <v>150</v>
      </c>
      <c r="P1000" s="13">
        <f>$O1000*$U$4</f>
        <v>2.25</v>
      </c>
      <c r="Q1000" s="13">
        <f>$O1000*$U$5</f>
        <v>3</v>
      </c>
      <c r="R1000" s="13" cm="1">
        <f t="array" ref="R1000">_xlfn.IFS(B1000=2023,O1000*$U$4,B1000=2024,O1000*$U$5)</f>
        <v>2.25</v>
      </c>
    </row>
    <row r="1001" spans="1:18">
      <c r="A1001" s="5">
        <v>1000</v>
      </c>
      <c r="B1001" s="4">
        <f t="shared" si="76"/>
        <v>2023</v>
      </c>
      <c r="C1001" s="4">
        <f t="shared" si="77"/>
        <v>4</v>
      </c>
      <c r="D1001" s="4">
        <f t="shared" si="78"/>
        <v>12</v>
      </c>
      <c r="E1001" s="4" t="str">
        <f t="shared" si="79"/>
        <v>Wednesday</v>
      </c>
      <c r="F1001" s="4" t="str">
        <f t="shared" si="80"/>
        <v>April</v>
      </c>
      <c r="G1001" s="6">
        <v>45028</v>
      </c>
      <c r="H1001" s="7" t="s">
        <v>1032</v>
      </c>
      <c r="I1001" s="7" t="s">
        <v>19</v>
      </c>
      <c r="J1001" s="4" t="str" cm="1">
        <f t="array" ref="J1001">_xlfn.IFS(K1001&lt;30,"Young Adult",K1001&lt;50,"Adult",K1001&gt;=50,"Senior")</f>
        <v>Adult</v>
      </c>
      <c r="K1001" s="7">
        <v>47</v>
      </c>
      <c r="L1001" s="7" t="s">
        <v>26</v>
      </c>
      <c r="M1001" s="7">
        <v>4</v>
      </c>
      <c r="N1001" s="18">
        <v>30</v>
      </c>
      <c r="O1001" s="17">
        <f>M1001*N1001</f>
        <v>120</v>
      </c>
      <c r="P1001" s="13">
        <f>$O1001*$U$4</f>
        <v>1.7999999999999998</v>
      </c>
      <c r="Q1001" s="13">
        <f>$O1001*$U$5</f>
        <v>2.4</v>
      </c>
      <c r="R1001" s="13" cm="1">
        <f t="array" ref="R1001">_xlfn.IFS(B1001=2023,O1001*$U$4,B1001=2024,O1001*$U$5)</f>
        <v>1.7999999999999998</v>
      </c>
    </row>
  </sheetData>
  <autoFilter ref="A1:R1001" xr:uid="{00000000-0001-0000-0000-000000000000}"/>
  <mergeCells count="2">
    <mergeCell ref="V14:W14"/>
    <mergeCell ref="Y14:AA14"/>
  </mergeCells>
  <conditionalFormatting sqref="U16:U1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:X19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X16:X1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ellIs" dxfId="7" priority="11" operator="equal">
      <formula>"Adult"</formula>
    </cfRule>
  </conditionalFormatting>
  <conditionalFormatting sqref="J1:J1048576">
    <cfRule type="cellIs" dxfId="6" priority="12" operator="equal">
      <formula>"Senior"</formula>
    </cfRule>
  </conditionalFormatting>
  <conditionalFormatting sqref="J1:J1048576">
    <cfRule type="cellIs" dxfId="5" priority="9" operator="equal">
      <formula>"Young Adult"</formula>
    </cfRule>
  </conditionalFormatting>
  <conditionalFormatting sqref="N1:N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ellIs" dxfId="4" priority="6" operator="equal">
      <formula>"Female"</formula>
    </cfRule>
  </conditionalFormatting>
  <conditionalFormatting sqref="I1:I1048576">
    <cfRule type="cellIs" dxfId="3" priority="5" operator="equal">
      <formula>"Male"</formula>
    </cfRule>
  </conditionalFormatting>
  <conditionalFormatting sqref="Y15:AA15">
    <cfRule type="cellIs" dxfId="2" priority="4" operator="equal">
      <formula>"Young Adult"</formula>
    </cfRule>
  </conditionalFormatting>
  <conditionalFormatting sqref="Y15:AA15">
    <cfRule type="cellIs" dxfId="1" priority="3" operator="equal">
      <formula>"Adult"</formula>
    </cfRule>
  </conditionalFormatting>
  <conditionalFormatting sqref="Y15:AA15">
    <cfRule type="cellIs" dxfId="0" priority="2" operator="equal">
      <formula>"Senior"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workbookViewId="0">
      <selection activeCell="D9" sqref="D9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14</v>
      </c>
      <c r="C1" s="1" t="s">
        <v>1033</v>
      </c>
      <c r="D1" s="1" t="s">
        <v>1034</v>
      </c>
    </row>
    <row r="2" spans="1:4">
      <c r="A2">
        <v>10</v>
      </c>
      <c r="B2" s="17" cm="1">
        <f t="array" ref="B2">VLOOKUP($A2,retail_sales_dataset!$A$1:$Q$1001,COLUMN(retail_sales_dataset!O:O),FALSE)</f>
        <v>200</v>
      </c>
      <c r="C2" t="str" cm="1">
        <f t="array" ref="C2">VLOOKUP($A2,retail_sales_dataset!$A$1:$Q$1001,COLUMN(retail_sales_dataset!L:L),FALSE)</f>
        <v>Clothing</v>
      </c>
      <c r="D2" t="str">
        <f>CONCATENATE("£",B2," of ",C2)</f>
        <v>£200 of Clothing</v>
      </c>
    </row>
    <row r="3" spans="1:4">
      <c r="A3">
        <v>15</v>
      </c>
      <c r="B3" s="17" cm="1">
        <f t="array" ref="B3">VLOOKUP($A3,retail_sales_dataset!$A$1:$Q$1001,COLUMN(retail_sales_dataset!O:O),FALSE)</f>
        <v>2000</v>
      </c>
      <c r="C3" t="str" cm="1">
        <f t="array" ref="C3">VLOOKUP($A3,retail_sales_dataset!$A$1:$Q$1001,COLUMN(retail_sales_dataset!L:L),FALSE)</f>
        <v>Electronics</v>
      </c>
      <c r="D3" t="str">
        <f t="shared" ref="D3:D10" si="0">CONCATENATE("£",B3," of ",C3)</f>
        <v>£2000 of Electronics</v>
      </c>
    </row>
    <row r="4" spans="1:4">
      <c r="A4">
        <v>25</v>
      </c>
      <c r="B4" s="17" cm="1">
        <f t="array" ref="B4">VLOOKUP($A4,retail_sales_dataset!$A$1:$Q$1001,COLUMN(retail_sales_dataset!O:O),FALSE)</f>
        <v>50</v>
      </c>
      <c r="C4" t="str" cm="1">
        <f t="array" ref="C4">VLOOKUP($A4,retail_sales_dataset!$A$1:$Q$1001,COLUMN(retail_sales_dataset!L:L),FALSE)</f>
        <v>Beauty</v>
      </c>
      <c r="D4" t="str">
        <f t="shared" si="0"/>
        <v>£50 of Beauty</v>
      </c>
    </row>
    <row r="5" spans="1:4">
      <c r="A5">
        <v>30</v>
      </c>
      <c r="B5" s="17" cm="1">
        <f t="array" ref="B5">VLOOKUP($A5,retail_sales_dataset!$A$1:$Q$1001,COLUMN(retail_sales_dataset!O:O),FALSE)</f>
        <v>900</v>
      </c>
      <c r="C5" t="str" cm="1">
        <f t="array" ref="C5">VLOOKUP($A5,retail_sales_dataset!$A$1:$Q$1001,COLUMN(retail_sales_dataset!L:L),FALSE)</f>
        <v>Beauty</v>
      </c>
      <c r="D5" t="str">
        <f t="shared" si="0"/>
        <v>£900 of Beauty</v>
      </c>
    </row>
    <row r="6" spans="1:4">
      <c r="A6">
        <v>54</v>
      </c>
      <c r="B6" s="17" cm="1">
        <f t="array" ref="B6">VLOOKUP($A6,retail_sales_dataset!$A$1:$Q$1001,COLUMN(retail_sales_dataset!O:O),FALSE)</f>
        <v>1500</v>
      </c>
      <c r="C6" t="str" cm="1">
        <f t="array" ref="C6">VLOOKUP($A6,retail_sales_dataset!$A$1:$Q$1001,COLUMN(retail_sales_dataset!L:L),FALSE)</f>
        <v>Electronics</v>
      </c>
      <c r="D6" t="str">
        <f t="shared" si="0"/>
        <v>£1500 of Electronics</v>
      </c>
    </row>
    <row r="7" spans="1:4">
      <c r="A7">
        <v>55</v>
      </c>
      <c r="B7" s="17" cm="1">
        <f t="array" ref="B7">VLOOKUP($A7,retail_sales_dataset!$A$1:$Q$1001,COLUMN(retail_sales_dataset!O:O),FALSE)</f>
        <v>120</v>
      </c>
      <c r="C7" t="str" cm="1">
        <f t="array" ref="C7">VLOOKUP($A7,retail_sales_dataset!$A$1:$Q$1001,COLUMN(retail_sales_dataset!L:L),FALSE)</f>
        <v>Beauty</v>
      </c>
      <c r="D7" t="str">
        <f t="shared" si="0"/>
        <v>£120 of Beauty</v>
      </c>
    </row>
    <row r="8" spans="1:4">
      <c r="A8">
        <v>67</v>
      </c>
      <c r="B8" s="17" cm="1">
        <f t="array" ref="B8">VLOOKUP($A8,retail_sales_dataset!$A$1:$Q$1001,COLUMN(retail_sales_dataset!O:O),FALSE)</f>
        <v>1200</v>
      </c>
      <c r="C8" t="str" cm="1">
        <f t="array" ref="C8">VLOOKUP($A8,retail_sales_dataset!$A$1:$Q$1001,COLUMN(retail_sales_dataset!L:L),FALSE)</f>
        <v>Beauty</v>
      </c>
      <c r="D8" t="str">
        <f t="shared" si="0"/>
        <v>£1200 of Beauty</v>
      </c>
    </row>
    <row r="9" spans="1:4">
      <c r="A9">
        <v>89</v>
      </c>
      <c r="B9" s="17" cm="1">
        <f t="array" ref="B9">VLOOKUP($A9,retail_sales_dataset!$A$1:$Q$1001,COLUMN(retail_sales_dataset!O:O),FALSE)</f>
        <v>2000</v>
      </c>
      <c r="C9" t="str" cm="1">
        <f t="array" ref="C9">VLOOKUP($A9,retail_sales_dataset!$A$1:$Q$1001,COLUMN(retail_sales_dataset!L:L),FALSE)</f>
        <v>Electronics</v>
      </c>
      <c r="D9" t="str">
        <f t="shared" si="0"/>
        <v>£2000 of Electronics</v>
      </c>
    </row>
    <row r="10" spans="1:4">
      <c r="A10">
        <v>100</v>
      </c>
      <c r="B10" s="17" cm="1">
        <f t="array" ref="B10">VLOOKUP($A10,retail_sales_dataset!$A$1:$Q$1001,COLUMN(retail_sales_dataset!O:O),FALSE)</f>
        <v>30</v>
      </c>
      <c r="C10" t="str" cm="1">
        <f t="array" ref="C10">VLOOKUP($A10,retail_sales_dataset!$A$1:$Q$1001,COLUMN(retail_sales_dataset!L:L),FALSE)</f>
        <v>Electronics</v>
      </c>
      <c r="D10" t="str">
        <f t="shared" si="0"/>
        <v>£30 of Electronics</v>
      </c>
    </row>
    <row r="11" spans="1:4">
      <c r="B11" s="17"/>
    </row>
    <row r="12" spans="1:4">
      <c r="A12" s="51" t="s">
        <v>1035</v>
      </c>
      <c r="B12" s="51"/>
      <c r="C12" s="51"/>
      <c r="D12" s="51"/>
    </row>
    <row r="13" spans="1:4">
      <c r="A13" s="33">
        <f>COUNT(A2:A10)</f>
        <v>9</v>
      </c>
      <c r="B13" s="33">
        <f t="shared" ref="B13:D13" si="1">COUNT(B2:B10)</f>
        <v>9</v>
      </c>
      <c r="C13" s="33">
        <f t="shared" si="1"/>
        <v>0</v>
      </c>
      <c r="D13" s="33">
        <f t="shared" si="1"/>
        <v>0</v>
      </c>
    </row>
    <row r="14" spans="1:4">
      <c r="A14" s="51" t="s">
        <v>1036</v>
      </c>
      <c r="B14" s="51"/>
      <c r="C14" s="51"/>
      <c r="D14" s="51"/>
    </row>
    <row r="15" spans="1:4">
      <c r="A15" s="33">
        <f>COUNTA(A2:A10)</f>
        <v>9</v>
      </c>
      <c r="B15" s="33">
        <f t="shared" ref="B15:D15" si="2">COUNTA(B2:B10)</f>
        <v>9</v>
      </c>
      <c r="C15" s="33">
        <f t="shared" si="2"/>
        <v>9</v>
      </c>
      <c r="D15" s="33">
        <f t="shared" si="2"/>
        <v>9</v>
      </c>
    </row>
  </sheetData>
  <mergeCells count="2">
    <mergeCell ref="A12:D12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1B1B-66D7-4557-A487-8FA4310883E1}">
  <dimension ref="A3:E7"/>
  <sheetViews>
    <sheetView workbookViewId="0">
      <selection activeCell="I5" sqref="I5"/>
    </sheetView>
  </sheetViews>
  <sheetFormatPr defaultRowHeight="15.75"/>
  <cols>
    <col min="1" max="1" width="16.25" bestFit="1" customWidth="1"/>
    <col min="2" max="2" width="18.375" bestFit="1" customWidth="1"/>
    <col min="3" max="3" width="7.875" bestFit="1" customWidth="1"/>
    <col min="4" max="4" width="10" bestFit="1" customWidth="1"/>
    <col min="5" max="5" width="10.75" bestFit="1" customWidth="1"/>
    <col min="6" max="7" width="8.5" bestFit="1" customWidth="1"/>
    <col min="8" max="8" width="10" bestFit="1" customWidth="1"/>
    <col min="9" max="9" width="9.875" bestFit="1" customWidth="1"/>
    <col min="10" max="11" width="10.75" bestFit="1" customWidth="1"/>
  </cols>
  <sheetData>
    <row r="3" spans="1:5">
      <c r="A3" s="52" t="s">
        <v>1037</v>
      </c>
      <c r="B3" s="52" t="s">
        <v>11</v>
      </c>
    </row>
    <row r="4" spans="1:5">
      <c r="A4" s="52" t="s">
        <v>8</v>
      </c>
      <c r="B4" t="s">
        <v>20</v>
      </c>
      <c r="C4" t="s">
        <v>23</v>
      </c>
      <c r="D4" t="s">
        <v>26</v>
      </c>
      <c r="E4" t="s">
        <v>1038</v>
      </c>
    </row>
    <row r="5" spans="1:5">
      <c r="A5" t="s">
        <v>22</v>
      </c>
      <c r="B5" s="53">
        <v>0.16410087719298247</v>
      </c>
      <c r="C5" s="53">
        <v>0.17823464912280701</v>
      </c>
      <c r="D5" s="53">
        <v>0.16827850877192982</v>
      </c>
      <c r="E5" s="53">
        <v>0.5106140350877193</v>
      </c>
    </row>
    <row r="6" spans="1:5">
      <c r="A6" t="s">
        <v>19</v>
      </c>
      <c r="B6" s="53">
        <v>0.15062500000000001</v>
      </c>
      <c r="C6" s="53">
        <v>0.16294956140350877</v>
      </c>
      <c r="D6" s="53">
        <v>0.17581140350877192</v>
      </c>
      <c r="E6" s="53">
        <v>0.4893859649122807</v>
      </c>
    </row>
    <row r="7" spans="1:5">
      <c r="A7" t="s">
        <v>1038</v>
      </c>
      <c r="B7" s="53">
        <v>0.31472587719298245</v>
      </c>
      <c r="C7" s="53">
        <v>0.34118421052631581</v>
      </c>
      <c r="D7" s="53">
        <v>0.34408991228070174</v>
      </c>
      <c r="E7" s="5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B8FB-87D5-4C71-A0B7-00639443383F}">
  <dimension ref="A3:E8"/>
  <sheetViews>
    <sheetView tabSelected="1" workbookViewId="0">
      <selection activeCell="P27" sqref="P27"/>
    </sheetView>
  </sheetViews>
  <sheetFormatPr defaultRowHeight="15.75"/>
  <cols>
    <col min="1" max="1" width="18.375" bestFit="1" customWidth="1"/>
    <col min="2" max="2" width="13.25" bestFit="1" customWidth="1"/>
    <col min="3" max="3" width="9.5" bestFit="1" customWidth="1"/>
    <col min="4" max="4" width="11.25" bestFit="1" customWidth="1"/>
    <col min="5" max="6" width="10.75" bestFit="1" customWidth="1"/>
  </cols>
  <sheetData>
    <row r="3" spans="1:5">
      <c r="A3" s="52" t="s">
        <v>1037</v>
      </c>
      <c r="B3" s="52" t="s">
        <v>9</v>
      </c>
    </row>
    <row r="4" spans="1:5">
      <c r="A4" s="52" t="s">
        <v>11</v>
      </c>
      <c r="B4" t="s">
        <v>44</v>
      </c>
      <c r="C4" t="s">
        <v>45</v>
      </c>
      <c r="D4" t="s">
        <v>43</v>
      </c>
      <c r="E4" t="s">
        <v>1038</v>
      </c>
    </row>
    <row r="5" spans="1:5">
      <c r="A5" t="s">
        <v>20</v>
      </c>
      <c r="B5" s="17">
        <v>68030</v>
      </c>
      <c r="C5" s="17">
        <v>34085</v>
      </c>
      <c r="D5" s="17">
        <v>41400</v>
      </c>
      <c r="E5" s="17">
        <v>143515</v>
      </c>
    </row>
    <row r="6" spans="1:5">
      <c r="A6" t="s">
        <v>23</v>
      </c>
      <c r="B6" s="17">
        <v>62360</v>
      </c>
      <c r="C6" s="17">
        <v>47070</v>
      </c>
      <c r="D6" s="17">
        <v>46150</v>
      </c>
      <c r="E6" s="17">
        <v>155580</v>
      </c>
    </row>
    <row r="7" spans="1:5">
      <c r="A7" t="s">
        <v>26</v>
      </c>
      <c r="B7" s="17">
        <v>59300</v>
      </c>
      <c r="C7" s="17">
        <v>62000</v>
      </c>
      <c r="D7" s="17">
        <v>35605</v>
      </c>
      <c r="E7" s="17">
        <v>156905</v>
      </c>
    </row>
    <row r="8" spans="1:5">
      <c r="A8" t="s">
        <v>1038</v>
      </c>
      <c r="B8" s="17">
        <v>189690</v>
      </c>
      <c r="C8" s="17">
        <v>143155</v>
      </c>
      <c r="D8" s="17">
        <v>123155</v>
      </c>
      <c r="E8" s="17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3FFA2-A909-498D-9BC6-33DF5B99923B}"/>
</file>

<file path=customXml/itemProps2.xml><?xml version="1.0" encoding="utf-8"?>
<ds:datastoreItem xmlns:ds="http://schemas.openxmlformats.org/officeDocument/2006/customXml" ds:itemID="{8B7F014E-65B1-48DD-A1AF-A79E02398FCF}"/>
</file>

<file path=customXml/itemProps3.xml><?xml version="1.0" encoding="utf-8"?>
<ds:datastoreItem xmlns:ds="http://schemas.openxmlformats.org/officeDocument/2006/customXml" ds:itemID="{0ECF1352-6F0C-4E7B-8AFB-2EA761E69D98}"/>
</file>

<file path=customXml/itemProps4.xml><?xml version="1.0" encoding="utf-8"?>
<ds:datastoreItem xmlns:ds="http://schemas.openxmlformats.org/officeDocument/2006/customXml" ds:itemID="{FE6DF61C-7ABD-44B9-B769-8F2899BB81F7}"/>
</file>

<file path=customXml/itemProps5.xml><?xml version="1.0" encoding="utf-8"?>
<ds:datastoreItem xmlns:ds="http://schemas.openxmlformats.org/officeDocument/2006/customXml" ds:itemID="{B0863CD4-1E7A-4D88-A05C-62E37A52A464}"/>
</file>

<file path=customXml/itemProps6.xml><?xml version="1.0" encoding="utf-8"?>
<ds:datastoreItem xmlns:ds="http://schemas.openxmlformats.org/officeDocument/2006/customXml" ds:itemID="{6DA07CEC-807D-4764-A388-A6BBED7640E0}"/>
</file>

<file path=customXml/itemProps7.xml><?xml version="1.0" encoding="utf-8"?>
<ds:datastoreItem xmlns:ds="http://schemas.openxmlformats.org/officeDocument/2006/customXml" ds:itemID="{A4B88D49-EA58-47E5-AA07-36D60BC9149C}"/>
</file>

<file path=customXml/itemProps8.xml><?xml version="1.0" encoding="utf-8"?>
<ds:datastoreItem xmlns:ds="http://schemas.openxmlformats.org/officeDocument/2006/customXml" ds:itemID="{6A238311-EE1E-4F00-870C-F1577541CA78}"/>
</file>

<file path=customXml/itemProps9.xml><?xml version="1.0" encoding="utf-8"?>
<ds:datastoreItem xmlns:ds="http://schemas.openxmlformats.org/officeDocument/2006/customXml" ds:itemID="{B46F128A-B7FE-46C0-9B9B-600600B1B28E}"/>
</file>

<file path=customXml/itemProps10.xml><?xml version="1.0" encoding="utf-8"?>
<ds:datastoreItem xmlns:ds="http://schemas.openxmlformats.org/officeDocument/2006/customXml" ds:itemID="{E2D36A1E-236C-4E19-9955-D6B07E5D30B7}"/>
</file>

<file path=customXml/itemProps11.xml><?xml version="1.0" encoding="utf-8"?>
<ds:datastoreItem xmlns:ds="http://schemas.openxmlformats.org/officeDocument/2006/customXml" ds:itemID="{DD9334D5-6C08-4A46-AD2C-FA9BF6D4670C}"/>
</file>

<file path=customXml/itemProps12.xml><?xml version="1.0" encoding="utf-8"?>
<ds:datastoreItem xmlns:ds="http://schemas.openxmlformats.org/officeDocument/2006/customXml" ds:itemID="{15575EC4-E142-4B68-9BA1-7D9F83EA5067}"/>
</file>

<file path=customXml/itemProps13.xml><?xml version="1.0" encoding="utf-8"?>
<ds:datastoreItem xmlns:ds="http://schemas.openxmlformats.org/officeDocument/2006/customXml" ds:itemID="{09B95C5D-16BB-4BEF-B316-6D3A8C9DD811}"/>
</file>

<file path=customXml/itemProps14.xml><?xml version="1.0" encoding="utf-8"?>
<ds:datastoreItem xmlns:ds="http://schemas.openxmlformats.org/officeDocument/2006/customXml" ds:itemID="{3E8CB0BE-C4BA-4913-9C77-CD4B1441093A}"/>
</file>

<file path=customXml/itemProps15.xml><?xml version="1.0" encoding="utf-8"?>
<ds:datastoreItem xmlns:ds="http://schemas.openxmlformats.org/officeDocument/2006/customXml" ds:itemID="{06D295F5-8058-4546-A127-35DC9120150C}"/>
</file>

<file path=customXml/itemProps16.xml><?xml version="1.0" encoding="utf-8"?>
<ds:datastoreItem xmlns:ds="http://schemas.openxmlformats.org/officeDocument/2006/customXml" ds:itemID="{9190CA0F-535F-4E99-9D22-E64B1EB7326E}"/>
</file>

<file path=customXml/itemProps17.xml><?xml version="1.0" encoding="utf-8"?>
<ds:datastoreItem xmlns:ds="http://schemas.openxmlformats.org/officeDocument/2006/customXml" ds:itemID="{19C66761-A138-4D29-95EB-4CF018C84C81}"/>
</file>

<file path=customXml/itemProps18.xml><?xml version="1.0" encoding="utf-8"?>
<ds:datastoreItem xmlns:ds="http://schemas.openxmlformats.org/officeDocument/2006/customXml" ds:itemID="{E643224C-1CC4-4A7F-A567-22ECFBDF619E}"/>
</file>

<file path=customXml/itemProps19.xml><?xml version="1.0" encoding="utf-8"?>
<ds:datastoreItem xmlns:ds="http://schemas.openxmlformats.org/officeDocument/2006/customXml" ds:itemID="{A85E162B-7A50-4957-AE78-A5F153441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Max Medland</cp:lastModifiedBy>
  <cp:revision/>
  <dcterms:created xsi:type="dcterms:W3CDTF">2024-01-05T15:03:52Z</dcterms:created>
  <dcterms:modified xsi:type="dcterms:W3CDTF">2026-02-25T10:36:43Z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